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Questa_cartella_di_lavoro" defaultThemeVersion="166925"/>
  <mc:AlternateContent xmlns:mc="http://schemas.openxmlformats.org/markup-compatibility/2006">
    <mc:Choice Requires="x15">
      <x15ac:absPath xmlns:x15ac="http://schemas.microsoft.com/office/spreadsheetml/2010/11/ac" url="C:\Users\d.gaudioso\Downloads\Contromonta\test\"/>
    </mc:Choice>
  </mc:AlternateContent>
  <xr:revisionPtr revIDLastSave="0" documentId="13_ncr:1_{C72ECF91-3F1B-47D5-84AB-E0E5024DFD13}" xr6:coauthVersionLast="47" xr6:coauthVersionMax="47" xr10:uidLastSave="{00000000-0000-0000-0000-000000000000}"/>
  <bookViews>
    <workbookView xWindow="-120" yWindow="-120" windowWidth="29040" windowHeight="15720" activeTab="3" xr2:uid="{E9DB7F57-FEC0-444A-A9FA-8AD6E2C39C48}"/>
  </bookViews>
  <sheets>
    <sheet name="Elementi" sheetId="7" r:id="rId1"/>
    <sheet name="Nodi" sheetId="5" r:id="rId2"/>
    <sheet name="disp" sheetId="6" r:id="rId3"/>
    <sheet name="OUTput_Monta_TrSx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P5" i="4" l="1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D18" i="4" s="1"/>
  <c r="C19" i="4"/>
  <c r="D19" i="4" s="1"/>
  <c r="C20" i="4"/>
  <c r="D20" i="4" s="1"/>
  <c r="C21" i="4"/>
  <c r="D21" i="4" s="1"/>
  <c r="C22" i="4"/>
  <c r="C23" i="4"/>
  <c r="D23" i="4" s="1"/>
  <c r="C24" i="4"/>
  <c r="D24" i="4" s="1"/>
  <c r="C25" i="4"/>
  <c r="C26" i="4"/>
  <c r="C27" i="4"/>
  <c r="C28" i="4"/>
  <c r="D28" i="4" s="1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" i="4"/>
  <c r="T4" i="4" a="1"/>
  <c r="T4" i="4" s="1"/>
  <c r="A44" i="6"/>
  <c r="A85" i="6" s="1"/>
  <c r="A126" i="6" s="1"/>
  <c r="A167" i="6" s="1"/>
  <c r="A208" i="6" s="1"/>
  <c r="A249" i="6" s="1"/>
  <c r="A290" i="6" s="1"/>
  <c r="A45" i="6"/>
  <c r="A86" i="6" s="1"/>
  <c r="A127" i="6" s="1"/>
  <c r="A168" i="6" s="1"/>
  <c r="A209" i="6" s="1"/>
  <c r="A250" i="6" s="1"/>
  <c r="A291" i="6" s="1"/>
  <c r="A46" i="6"/>
  <c r="A87" i="6" s="1"/>
  <c r="A128" i="6" s="1"/>
  <c r="A169" i="6" s="1"/>
  <c r="A210" i="6" s="1"/>
  <c r="A251" i="6" s="1"/>
  <c r="A292" i="6" s="1"/>
  <c r="A47" i="6"/>
  <c r="A48" i="6"/>
  <c r="A49" i="6"/>
  <c r="A50" i="6"/>
  <c r="A91" i="6" s="1"/>
  <c r="A132" i="6" s="1"/>
  <c r="A173" i="6" s="1"/>
  <c r="A214" i="6" s="1"/>
  <c r="A255" i="6" s="1"/>
  <c r="A296" i="6" s="1"/>
  <c r="A51" i="6"/>
  <c r="A92" i="6" s="1"/>
  <c r="A133" i="6" s="1"/>
  <c r="A174" i="6" s="1"/>
  <c r="A215" i="6" s="1"/>
  <c r="A256" i="6" s="1"/>
  <c r="A297" i="6" s="1"/>
  <c r="A52" i="6"/>
  <c r="A93" i="6" s="1"/>
  <c r="A134" i="6" s="1"/>
  <c r="A175" i="6" s="1"/>
  <c r="A216" i="6" s="1"/>
  <c r="A257" i="6" s="1"/>
  <c r="A298" i="6" s="1"/>
  <c r="A53" i="6"/>
  <c r="A94" i="6" s="1"/>
  <c r="A135" i="6" s="1"/>
  <c r="A176" i="6" s="1"/>
  <c r="A217" i="6" s="1"/>
  <c r="A258" i="6" s="1"/>
  <c r="A299" i="6" s="1"/>
  <c r="A54" i="6"/>
  <c r="A95" i="6" s="1"/>
  <c r="A136" i="6" s="1"/>
  <c r="A177" i="6" s="1"/>
  <c r="A218" i="6" s="1"/>
  <c r="A259" i="6" s="1"/>
  <c r="A300" i="6" s="1"/>
  <c r="A55" i="6"/>
  <c r="A96" i="6" s="1"/>
  <c r="A137" i="6" s="1"/>
  <c r="A178" i="6" s="1"/>
  <c r="A219" i="6" s="1"/>
  <c r="A260" i="6" s="1"/>
  <c r="A301" i="6" s="1"/>
  <c r="A56" i="6"/>
  <c r="A97" i="6" s="1"/>
  <c r="A138" i="6" s="1"/>
  <c r="A179" i="6" s="1"/>
  <c r="A220" i="6" s="1"/>
  <c r="A261" i="6" s="1"/>
  <c r="A302" i="6" s="1"/>
  <c r="A57" i="6"/>
  <c r="A98" i="6" s="1"/>
  <c r="A139" i="6" s="1"/>
  <c r="A180" i="6" s="1"/>
  <c r="A221" i="6" s="1"/>
  <c r="A262" i="6" s="1"/>
  <c r="A303" i="6" s="1"/>
  <c r="A58" i="6"/>
  <c r="A99" i="6" s="1"/>
  <c r="A140" i="6" s="1"/>
  <c r="A181" i="6" s="1"/>
  <c r="A222" i="6" s="1"/>
  <c r="A263" i="6" s="1"/>
  <c r="A304" i="6" s="1"/>
  <c r="A59" i="6"/>
  <c r="A100" i="6" s="1"/>
  <c r="A141" i="6" s="1"/>
  <c r="A182" i="6" s="1"/>
  <c r="A223" i="6" s="1"/>
  <c r="A264" i="6" s="1"/>
  <c r="A305" i="6" s="1"/>
  <c r="A60" i="6"/>
  <c r="A101" i="6" s="1"/>
  <c r="A142" i="6" s="1"/>
  <c r="A183" i="6" s="1"/>
  <c r="A224" i="6" s="1"/>
  <c r="A265" i="6" s="1"/>
  <c r="A306" i="6" s="1"/>
  <c r="A61" i="6"/>
  <c r="A102" i="6" s="1"/>
  <c r="A143" i="6" s="1"/>
  <c r="A184" i="6" s="1"/>
  <c r="A225" i="6" s="1"/>
  <c r="A266" i="6" s="1"/>
  <c r="A307" i="6" s="1"/>
  <c r="A62" i="6"/>
  <c r="A103" i="6" s="1"/>
  <c r="A144" i="6" s="1"/>
  <c r="A185" i="6" s="1"/>
  <c r="A226" i="6" s="1"/>
  <c r="A267" i="6" s="1"/>
  <c r="A308" i="6" s="1"/>
  <c r="A63" i="6"/>
  <c r="A104" i="6" s="1"/>
  <c r="A145" i="6" s="1"/>
  <c r="A186" i="6" s="1"/>
  <c r="A227" i="6" s="1"/>
  <c r="A268" i="6" s="1"/>
  <c r="A309" i="6" s="1"/>
  <c r="A64" i="6"/>
  <c r="A105" i="6" s="1"/>
  <c r="A146" i="6" s="1"/>
  <c r="A187" i="6" s="1"/>
  <c r="A228" i="6" s="1"/>
  <c r="A269" i="6" s="1"/>
  <c r="A310" i="6" s="1"/>
  <c r="A65" i="6"/>
  <c r="A106" i="6" s="1"/>
  <c r="A147" i="6" s="1"/>
  <c r="A188" i="6" s="1"/>
  <c r="A229" i="6" s="1"/>
  <c r="A270" i="6" s="1"/>
  <c r="A311" i="6" s="1"/>
  <c r="A66" i="6"/>
  <c r="A107" i="6" s="1"/>
  <c r="A148" i="6" s="1"/>
  <c r="A189" i="6" s="1"/>
  <c r="A230" i="6" s="1"/>
  <c r="A271" i="6" s="1"/>
  <c r="A312" i="6" s="1"/>
  <c r="A67" i="6"/>
  <c r="A108" i="6" s="1"/>
  <c r="A149" i="6" s="1"/>
  <c r="A190" i="6" s="1"/>
  <c r="A231" i="6" s="1"/>
  <c r="A272" i="6" s="1"/>
  <c r="A313" i="6" s="1"/>
  <c r="A68" i="6"/>
  <c r="A109" i="6" s="1"/>
  <c r="A150" i="6" s="1"/>
  <c r="A191" i="6" s="1"/>
  <c r="A232" i="6" s="1"/>
  <c r="A273" i="6" s="1"/>
  <c r="A314" i="6" s="1"/>
  <c r="A69" i="6"/>
  <c r="A110" i="6" s="1"/>
  <c r="A151" i="6" s="1"/>
  <c r="A192" i="6" s="1"/>
  <c r="A233" i="6" s="1"/>
  <c r="A274" i="6" s="1"/>
  <c r="A315" i="6" s="1"/>
  <c r="A70" i="6"/>
  <c r="A111" i="6" s="1"/>
  <c r="A152" i="6" s="1"/>
  <c r="A193" i="6" s="1"/>
  <c r="A234" i="6" s="1"/>
  <c r="A275" i="6" s="1"/>
  <c r="A316" i="6" s="1"/>
  <c r="A71" i="6"/>
  <c r="A112" i="6" s="1"/>
  <c r="A153" i="6" s="1"/>
  <c r="A194" i="6" s="1"/>
  <c r="A235" i="6" s="1"/>
  <c r="A276" i="6" s="1"/>
  <c r="A317" i="6" s="1"/>
  <c r="A72" i="6"/>
  <c r="A113" i="6" s="1"/>
  <c r="A154" i="6" s="1"/>
  <c r="A195" i="6" s="1"/>
  <c r="A236" i="6" s="1"/>
  <c r="A277" i="6" s="1"/>
  <c r="A318" i="6" s="1"/>
  <c r="A73" i="6"/>
  <c r="A114" i="6" s="1"/>
  <c r="A155" i="6" s="1"/>
  <c r="A196" i="6" s="1"/>
  <c r="A237" i="6" s="1"/>
  <c r="A278" i="6" s="1"/>
  <c r="A319" i="6" s="1"/>
  <c r="A74" i="6"/>
  <c r="A115" i="6" s="1"/>
  <c r="A156" i="6" s="1"/>
  <c r="A197" i="6" s="1"/>
  <c r="A238" i="6" s="1"/>
  <c r="A279" i="6" s="1"/>
  <c r="A320" i="6" s="1"/>
  <c r="A75" i="6"/>
  <c r="A116" i="6" s="1"/>
  <c r="A157" i="6" s="1"/>
  <c r="A198" i="6" s="1"/>
  <c r="A239" i="6" s="1"/>
  <c r="A280" i="6" s="1"/>
  <c r="A321" i="6" s="1"/>
  <c r="A76" i="6"/>
  <c r="A117" i="6" s="1"/>
  <c r="A158" i="6" s="1"/>
  <c r="A199" i="6" s="1"/>
  <c r="A240" i="6" s="1"/>
  <c r="A281" i="6" s="1"/>
  <c r="A322" i="6" s="1"/>
  <c r="A77" i="6"/>
  <c r="A118" i="6" s="1"/>
  <c r="A159" i="6" s="1"/>
  <c r="A200" i="6" s="1"/>
  <c r="A241" i="6" s="1"/>
  <c r="A282" i="6" s="1"/>
  <c r="A323" i="6" s="1"/>
  <c r="A78" i="6"/>
  <c r="A119" i="6" s="1"/>
  <c r="A160" i="6" s="1"/>
  <c r="A201" i="6" s="1"/>
  <c r="A242" i="6" s="1"/>
  <c r="A283" i="6" s="1"/>
  <c r="A324" i="6" s="1"/>
  <c r="A79" i="6"/>
  <c r="A120" i="6" s="1"/>
  <c r="A161" i="6" s="1"/>
  <c r="A202" i="6" s="1"/>
  <c r="A243" i="6" s="1"/>
  <c r="A284" i="6" s="1"/>
  <c r="A325" i="6" s="1"/>
  <c r="A80" i="6"/>
  <c r="A121" i="6" s="1"/>
  <c r="A162" i="6" s="1"/>
  <c r="A203" i="6" s="1"/>
  <c r="A244" i="6" s="1"/>
  <c r="A285" i="6" s="1"/>
  <c r="A326" i="6" s="1"/>
  <c r="A81" i="6"/>
  <c r="A122" i="6" s="1"/>
  <c r="A163" i="6" s="1"/>
  <c r="A204" i="6" s="1"/>
  <c r="A245" i="6" s="1"/>
  <c r="A286" i="6" s="1"/>
  <c r="A327" i="6" s="1"/>
  <c r="A82" i="6"/>
  <c r="A123" i="6" s="1"/>
  <c r="A164" i="6" s="1"/>
  <c r="A205" i="6" s="1"/>
  <c r="A246" i="6" s="1"/>
  <c r="A287" i="6" s="1"/>
  <c r="A328" i="6" s="1"/>
  <c r="A83" i="6"/>
  <c r="A124" i="6" s="1"/>
  <c r="A165" i="6" s="1"/>
  <c r="A206" i="6" s="1"/>
  <c r="A247" i="6" s="1"/>
  <c r="A288" i="6" s="1"/>
  <c r="A329" i="6" s="1"/>
  <c r="A88" i="6"/>
  <c r="A129" i="6" s="1"/>
  <c r="A170" i="6" s="1"/>
  <c r="A211" i="6" s="1"/>
  <c r="A252" i="6" s="1"/>
  <c r="A293" i="6" s="1"/>
  <c r="A89" i="6"/>
  <c r="A130" i="6" s="1"/>
  <c r="A171" i="6" s="1"/>
  <c r="A212" i="6" s="1"/>
  <c r="A253" i="6" s="1"/>
  <c r="A294" i="6" s="1"/>
  <c r="A90" i="6"/>
  <c r="A131" i="6" s="1"/>
  <c r="A172" i="6" s="1"/>
  <c r="A213" i="6" s="1"/>
  <c r="A254" i="6" s="1"/>
  <c r="A295" i="6" s="1"/>
  <c r="A43" i="6"/>
  <c r="A84" i="6" s="1"/>
  <c r="A125" i="6" s="1"/>
  <c r="A166" i="6" s="1"/>
  <c r="A207" i="6" s="1"/>
  <c r="A248" i="6" s="1"/>
  <c r="A289" i="6" s="1"/>
  <c r="D43" i="4" l="1"/>
  <c r="D40" i="4"/>
  <c r="D37" i="4"/>
  <c r="D44" i="4"/>
  <c r="D39" i="4"/>
  <c r="D16" i="4"/>
  <c r="D15" i="4"/>
  <c r="D29" i="4"/>
  <c r="D17" i="4"/>
  <c r="D9" i="4"/>
  <c r="D22" i="4"/>
  <c r="D12" i="4"/>
  <c r="D8" i="4"/>
  <c r="D7" i="4"/>
  <c r="D30" i="4"/>
  <c r="D26" i="4"/>
  <c r="D25" i="4"/>
  <c r="D10" i="4"/>
  <c r="D6" i="4"/>
  <c r="D11" i="4"/>
  <c r="D5" i="4"/>
  <c r="D36" i="4"/>
  <c r="D35" i="4"/>
  <c r="D34" i="4"/>
  <c r="D42" i="4"/>
  <c r="D33" i="4"/>
  <c r="D41" i="4"/>
  <c r="D32" i="4"/>
  <c r="D27" i="4"/>
  <c r="D31" i="4"/>
  <c r="J40" i="4" a="1"/>
  <c r="J40" i="4" s="1"/>
  <c r="J16" i="4" a="1"/>
  <c r="J16" i="4" s="1"/>
  <c r="M39" i="4" a="1"/>
  <c r="M39" i="4" s="1"/>
  <c r="M27" i="4" a="1"/>
  <c r="M27" i="4" s="1"/>
  <c r="M15" i="4" a="1"/>
  <c r="M15" i="4" s="1"/>
  <c r="D13" i="4"/>
  <c r="I22" i="4" a="1"/>
  <c r="I22" i="4" s="1"/>
  <c r="J15" i="4" a="1"/>
  <c r="J15" i="4" s="1"/>
  <c r="I44" i="4" a="1"/>
  <c r="I44" i="4" s="1"/>
  <c r="I20" i="4" a="1"/>
  <c r="I20" i="4" s="1"/>
  <c r="J13" i="4" a="1"/>
  <c r="J13" i="4" s="1"/>
  <c r="I43" i="4" a="1"/>
  <c r="I43" i="4" s="1"/>
  <c r="I19" i="4" a="1"/>
  <c r="I19" i="4" s="1"/>
  <c r="J36" i="4" a="1"/>
  <c r="J36" i="4" s="1"/>
  <c r="J12" i="4" a="1"/>
  <c r="J12" i="4" s="1"/>
  <c r="M37" i="4" a="1"/>
  <c r="M37" i="4" s="1"/>
  <c r="M25" i="4" a="1"/>
  <c r="M25" i="4" s="1"/>
  <c r="M13" i="4" a="1"/>
  <c r="M13" i="4" s="1"/>
  <c r="I38" i="4" a="1"/>
  <c r="I38" i="4" s="1"/>
  <c r="J31" i="4" a="1"/>
  <c r="J31" i="4" s="1"/>
  <c r="J7" i="4" a="1"/>
  <c r="J7" i="4" s="1"/>
  <c r="I13" i="4" a="1"/>
  <c r="I13" i="4" s="1"/>
  <c r="M22" i="4" a="1"/>
  <c r="M22" i="4" s="1"/>
  <c r="I11" i="4" a="1"/>
  <c r="I11" i="4" s="1"/>
  <c r="J28" i="4" a="1"/>
  <c r="J28" i="4" s="1"/>
  <c r="M33" i="4" a="1"/>
  <c r="M33" i="4" s="1"/>
  <c r="M21" i="4" a="1"/>
  <c r="M21" i="4" s="1"/>
  <c r="M9" i="4" a="1"/>
  <c r="M9" i="4" s="1"/>
  <c r="I34" i="4" a="1"/>
  <c r="I34" i="4" s="1"/>
  <c r="J27" i="4" a="1"/>
  <c r="J27" i="4" s="1"/>
  <c r="I8" i="4" a="1"/>
  <c r="I8" i="4" s="1"/>
  <c r="J25" i="4" a="1"/>
  <c r="J25" i="4" s="1"/>
  <c r="I31" i="4" a="1"/>
  <c r="I31" i="4" s="1"/>
  <c r="J24" i="4" a="1"/>
  <c r="J24" i="4" s="1"/>
  <c r="M43" i="4" a="1"/>
  <c r="M43" i="4" s="1"/>
  <c r="M31" i="4" a="1"/>
  <c r="M31" i="4" s="1"/>
  <c r="M19" i="4" a="1"/>
  <c r="M19" i="4" s="1"/>
  <c r="M7" i="4" a="1"/>
  <c r="M7" i="4" s="1"/>
  <c r="I5" i="4" a="1"/>
  <c r="I5" i="4" s="1"/>
  <c r="J22" i="4" a="1"/>
  <c r="J22" i="4" s="1"/>
  <c r="M30" i="4" a="1"/>
  <c r="M30" i="4" s="1"/>
  <c r="M18" i="4" a="1"/>
  <c r="M18" i="4" s="1"/>
  <c r="M6" i="4" a="1"/>
  <c r="M6" i="4" s="1"/>
  <c r="J4" i="4" a="1"/>
  <c r="J4" i="4" s="1"/>
  <c r="J21" i="4" a="1"/>
  <c r="J21" i="4" s="1"/>
  <c r="J44" i="4" a="1"/>
  <c r="J44" i="4" s="1"/>
  <c r="I24" i="4" a="1"/>
  <c r="I24" i="4" s="1"/>
  <c r="J41" i="4" a="1"/>
  <c r="J41" i="4" s="1"/>
  <c r="J17" i="4" a="1"/>
  <c r="J17" i="4" s="1"/>
  <c r="J39" i="4" a="1"/>
  <c r="J39" i="4" s="1"/>
  <c r="J38" i="4" a="1"/>
  <c r="J38" i="4" s="1"/>
  <c r="M26" i="4" a="1"/>
  <c r="M26" i="4" s="1"/>
  <c r="J37" i="4" a="1"/>
  <c r="J37" i="4" s="1"/>
  <c r="I42" i="4" a="1"/>
  <c r="I42" i="4" s="1"/>
  <c r="I18" i="4" a="1"/>
  <c r="I18" i="4" s="1"/>
  <c r="J35" i="4" a="1"/>
  <c r="J35" i="4" s="1"/>
  <c r="J11" i="4" a="1"/>
  <c r="J11" i="4" s="1"/>
  <c r="I14" i="4" a="1"/>
  <c r="I14" i="4" s="1"/>
  <c r="I36" i="4" a="1"/>
  <c r="I36" i="4" s="1"/>
  <c r="J29" i="4" a="1"/>
  <c r="J29" i="4" s="1"/>
  <c r="J5" i="4" a="1"/>
  <c r="J5" i="4" s="1"/>
  <c r="I35" i="4" a="1"/>
  <c r="I35" i="4" s="1"/>
  <c r="M4" i="4" a="1"/>
  <c r="M4" i="4" s="1"/>
  <c r="I33" i="4" a="1"/>
  <c r="I33" i="4" s="1"/>
  <c r="J26" i="4" a="1"/>
  <c r="J26" i="4" s="1"/>
  <c r="M44" i="4" a="1"/>
  <c r="M44" i="4" s="1"/>
  <c r="M20" i="4" a="1"/>
  <c r="M20" i="4" s="1"/>
  <c r="M8" i="4" a="1"/>
  <c r="M8" i="4" s="1"/>
  <c r="I32" i="4" a="1"/>
  <c r="I32" i="4" s="1"/>
  <c r="I30" i="4" a="1"/>
  <c r="I30" i="4" s="1"/>
  <c r="I6" i="4" a="1"/>
  <c r="I6" i="4" s="1"/>
  <c r="I29" i="4" a="1"/>
  <c r="I29" i="4" s="1"/>
  <c r="M42" i="4" a="1"/>
  <c r="M42" i="4" s="1"/>
  <c r="I27" i="4" a="1"/>
  <c r="I27" i="4" s="1"/>
  <c r="J20" i="4" a="1"/>
  <c r="J20" i="4" s="1"/>
  <c r="M41" i="4" a="1"/>
  <c r="M41" i="4" s="1"/>
  <c r="M29" i="4" a="1"/>
  <c r="M29" i="4" s="1"/>
  <c r="M17" i="4" a="1"/>
  <c r="M17" i="4" s="1"/>
  <c r="M5" i="4" a="1"/>
  <c r="M5" i="4" s="1"/>
  <c r="I26" i="4" a="1"/>
  <c r="I26" i="4" s="1"/>
  <c r="D38" i="4"/>
  <c r="D14" i="4"/>
  <c r="I23" i="4" a="1"/>
  <c r="I23" i="4" s="1"/>
  <c r="I4" i="4" a="1"/>
  <c r="I4" i="4" s="1"/>
  <c r="J14" i="4" a="1"/>
  <c r="J14" i="4" s="1"/>
  <c r="M38" i="4" a="1"/>
  <c r="M38" i="4" s="1"/>
  <c r="I41" i="4" a="1"/>
  <c r="I41" i="4" s="1"/>
  <c r="I17" i="4" a="1"/>
  <c r="I17" i="4" s="1"/>
  <c r="J34" i="4" a="1"/>
  <c r="J34" i="4" s="1"/>
  <c r="M36" i="4" a="1"/>
  <c r="M36" i="4" s="1"/>
  <c r="M24" i="4" a="1"/>
  <c r="M24" i="4" s="1"/>
  <c r="M12" i="4" a="1"/>
  <c r="M12" i="4" s="1"/>
  <c r="I40" i="4" a="1"/>
  <c r="I40" i="4" s="1"/>
  <c r="I16" i="4" a="1"/>
  <c r="I16" i="4" s="1"/>
  <c r="J33" i="4" a="1"/>
  <c r="J33" i="4" s="1"/>
  <c r="J9" i="4" a="1"/>
  <c r="J9" i="4" s="1"/>
  <c r="I37" i="4" a="1"/>
  <c r="I37" i="4" s="1"/>
  <c r="J30" i="4" a="1"/>
  <c r="J30" i="4" s="1"/>
  <c r="J6" i="4" a="1"/>
  <c r="J6" i="4" s="1"/>
  <c r="M34" i="4" a="1"/>
  <c r="M34" i="4" s="1"/>
  <c r="M10" i="4" a="1"/>
  <c r="M10" i="4" s="1"/>
  <c r="I12" i="4" a="1"/>
  <c r="I12" i="4" s="1"/>
  <c r="I10" i="4" a="1"/>
  <c r="I10" i="4" s="1"/>
  <c r="I9" i="4" a="1"/>
  <c r="I9" i="4" s="1"/>
  <c r="M32" i="4" a="1"/>
  <c r="M32" i="4" s="1"/>
  <c r="I7" i="4" a="1"/>
  <c r="I7" i="4" s="1"/>
  <c r="J23" i="4" a="1"/>
  <c r="J23" i="4" s="1"/>
  <c r="I28" i="4" a="1"/>
  <c r="I28" i="4" s="1"/>
  <c r="J43" i="4" a="1"/>
  <c r="J43" i="4" s="1"/>
  <c r="J19" i="4" a="1"/>
  <c r="J19" i="4" s="1"/>
  <c r="I25" i="4" a="1"/>
  <c r="I25" i="4" s="1"/>
  <c r="J42" i="4" a="1"/>
  <c r="J42" i="4" s="1"/>
  <c r="J18" i="4" a="1"/>
  <c r="J18" i="4" s="1"/>
  <c r="M40" i="4" a="1"/>
  <c r="M40" i="4" s="1"/>
  <c r="M28" i="4" a="1"/>
  <c r="M28" i="4" s="1"/>
  <c r="M16" i="4" a="1"/>
  <c r="M16" i="4" s="1"/>
  <c r="I21" i="4" a="1"/>
  <c r="I21" i="4" s="1"/>
  <c r="M14" i="4" a="1"/>
  <c r="M14" i="4" s="1"/>
  <c r="J10" i="4" a="1"/>
  <c r="J10" i="4" s="1"/>
  <c r="I39" i="4" a="1"/>
  <c r="I39" i="4" s="1"/>
  <c r="I15" i="4" a="1"/>
  <c r="I15" i="4" s="1"/>
  <c r="J32" i="4" a="1"/>
  <c r="J32" i="4" s="1"/>
  <c r="J8" i="4" a="1"/>
  <c r="J8" i="4" s="1"/>
  <c r="M35" i="4" a="1"/>
  <c r="M35" i="4" s="1"/>
  <c r="M23" i="4" a="1"/>
  <c r="M23" i="4" s="1"/>
  <c r="M11" i="4" a="1"/>
  <c r="M11" i="4" s="1"/>
  <c r="D4" i="4"/>
  <c r="L5" i="4" l="1" a="1"/>
  <c r="L5" i="4" s="1"/>
  <c r="L6" i="4" a="1"/>
  <c r="L6" i="4" s="1"/>
  <c r="L7" i="4" a="1"/>
  <c r="L7" i="4" s="1"/>
  <c r="L8" i="4" a="1"/>
  <c r="L8" i="4" s="1"/>
  <c r="L9" i="4" a="1"/>
  <c r="L9" i="4" s="1"/>
  <c r="L10" i="4" a="1"/>
  <c r="L10" i="4" s="1"/>
  <c r="L11" i="4" a="1"/>
  <c r="L11" i="4" s="1"/>
  <c r="L12" i="4" a="1"/>
  <c r="L12" i="4" s="1"/>
  <c r="L13" i="4" a="1"/>
  <c r="L13" i="4" s="1"/>
  <c r="L14" i="4" a="1"/>
  <c r="L14" i="4" s="1"/>
  <c r="L15" i="4" a="1"/>
  <c r="L15" i="4" s="1"/>
  <c r="L16" i="4" a="1"/>
  <c r="L16" i="4" s="1"/>
  <c r="L17" i="4" a="1"/>
  <c r="L17" i="4" s="1"/>
  <c r="L18" i="4" a="1"/>
  <c r="L18" i="4" s="1"/>
  <c r="L19" i="4" a="1"/>
  <c r="L19" i="4" s="1"/>
  <c r="L20" i="4" a="1"/>
  <c r="L20" i="4" s="1"/>
  <c r="L21" i="4" a="1"/>
  <c r="L21" i="4" s="1"/>
  <c r="L22" i="4" a="1"/>
  <c r="L22" i="4" s="1"/>
  <c r="L23" i="4" a="1"/>
  <c r="L23" i="4" s="1"/>
  <c r="L24" i="4" a="1"/>
  <c r="L24" i="4" s="1"/>
  <c r="L25" i="4" a="1"/>
  <c r="L25" i="4" s="1"/>
  <c r="L26" i="4" a="1"/>
  <c r="L26" i="4" s="1"/>
  <c r="L27" i="4" a="1"/>
  <c r="L27" i="4" s="1"/>
  <c r="L28" i="4" a="1"/>
  <c r="L28" i="4" s="1"/>
  <c r="L29" i="4" a="1"/>
  <c r="L29" i="4" s="1"/>
  <c r="L30" i="4" a="1"/>
  <c r="L30" i="4" s="1"/>
  <c r="L31" i="4" a="1"/>
  <c r="L31" i="4" s="1"/>
  <c r="L32" i="4" a="1"/>
  <c r="L32" i="4" s="1"/>
  <c r="L33" i="4" a="1"/>
  <c r="L33" i="4" s="1"/>
  <c r="L34" i="4" a="1"/>
  <c r="L34" i="4" s="1"/>
  <c r="L35" i="4" a="1"/>
  <c r="L35" i="4" s="1"/>
  <c r="L36" i="4" a="1"/>
  <c r="L36" i="4" s="1"/>
  <c r="L37" i="4" a="1"/>
  <c r="L37" i="4" s="1"/>
  <c r="L38" i="4" a="1"/>
  <c r="L38" i="4" s="1"/>
  <c r="L39" i="4" a="1"/>
  <c r="L39" i="4" s="1"/>
  <c r="L40" i="4" a="1"/>
  <c r="L40" i="4" s="1"/>
  <c r="L41" i="4" a="1"/>
  <c r="L41" i="4" s="1"/>
  <c r="L42" i="4" a="1"/>
  <c r="L42" i="4" s="1"/>
  <c r="L43" i="4" a="1"/>
  <c r="L43" i="4" s="1"/>
  <c r="L44" i="4" a="1"/>
  <c r="L44" i="4" s="1"/>
  <c r="L4" i="4" a="1"/>
  <c r="L4" i="4" s="1"/>
  <c r="K5" i="4" a="1"/>
  <c r="K5" i="4" s="1"/>
  <c r="K6" i="4" a="1"/>
  <c r="K6" i="4" s="1"/>
  <c r="K7" i="4" a="1"/>
  <c r="K7" i="4" s="1"/>
  <c r="K8" i="4" a="1"/>
  <c r="K8" i="4" s="1"/>
  <c r="K9" i="4" a="1"/>
  <c r="K9" i="4" s="1"/>
  <c r="K10" i="4" a="1"/>
  <c r="K10" i="4" s="1"/>
  <c r="K11" i="4" a="1"/>
  <c r="K11" i="4" s="1"/>
  <c r="K12" i="4" a="1"/>
  <c r="K12" i="4" s="1"/>
  <c r="K13" i="4" a="1"/>
  <c r="K13" i="4" s="1"/>
  <c r="K14" i="4" a="1"/>
  <c r="K14" i="4" s="1"/>
  <c r="K15" i="4" a="1"/>
  <c r="K15" i="4" s="1"/>
  <c r="K16" i="4" a="1"/>
  <c r="K16" i="4" s="1"/>
  <c r="K17" i="4" a="1"/>
  <c r="K17" i="4" s="1"/>
  <c r="K18" i="4" a="1"/>
  <c r="K18" i="4" s="1"/>
  <c r="K19" i="4" a="1"/>
  <c r="K19" i="4" s="1"/>
  <c r="K20" i="4" a="1"/>
  <c r="K20" i="4" s="1"/>
  <c r="K21" i="4" a="1"/>
  <c r="K21" i="4" s="1"/>
  <c r="K22" i="4" a="1"/>
  <c r="K22" i="4" s="1"/>
  <c r="K23" i="4" a="1"/>
  <c r="K23" i="4" s="1"/>
  <c r="K24" i="4" a="1"/>
  <c r="K24" i="4" s="1"/>
  <c r="K25" i="4" a="1"/>
  <c r="K25" i="4" s="1"/>
  <c r="K26" i="4" a="1"/>
  <c r="K26" i="4" s="1"/>
  <c r="K27" i="4" a="1"/>
  <c r="K27" i="4" s="1"/>
  <c r="K28" i="4" a="1"/>
  <c r="K28" i="4" s="1"/>
  <c r="K29" i="4" a="1"/>
  <c r="K29" i="4" s="1"/>
  <c r="K30" i="4" a="1"/>
  <c r="K30" i="4" s="1"/>
  <c r="K31" i="4" a="1"/>
  <c r="K31" i="4" s="1"/>
  <c r="K32" i="4" a="1"/>
  <c r="K32" i="4" s="1"/>
  <c r="K33" i="4" a="1"/>
  <c r="K33" i="4" s="1"/>
  <c r="K34" i="4" a="1"/>
  <c r="K34" i="4" s="1"/>
  <c r="K35" i="4" a="1"/>
  <c r="K35" i="4" s="1"/>
  <c r="K36" i="4" a="1"/>
  <c r="K36" i="4" s="1"/>
  <c r="K37" i="4" a="1"/>
  <c r="K37" i="4" s="1"/>
  <c r="K38" i="4" a="1"/>
  <c r="K38" i="4" s="1"/>
  <c r="K39" i="4" a="1"/>
  <c r="K39" i="4" s="1"/>
  <c r="K40" i="4" a="1"/>
  <c r="K40" i="4" s="1"/>
  <c r="K41" i="4" a="1"/>
  <c r="K41" i="4" s="1"/>
  <c r="K42" i="4" a="1"/>
  <c r="K42" i="4" s="1"/>
  <c r="K43" i="4" a="1"/>
  <c r="K43" i="4" s="1"/>
  <c r="K44" i="4" a="1"/>
  <c r="K44" i="4" s="1"/>
  <c r="K4" i="4" a="1"/>
  <c r="K4" i="4" s="1"/>
  <c r="N22" i="4" l="1"/>
  <c r="N20" i="4"/>
  <c r="N15" i="4"/>
  <c r="O15" i="4" s="1"/>
  <c r="N12" i="4"/>
  <c r="O12" i="4" s="1"/>
  <c r="N19" i="4"/>
  <c r="O19" i="4" s="1"/>
  <c r="N44" i="4"/>
  <c r="O44" i="4" s="1"/>
  <c r="N43" i="4"/>
  <c r="O43" i="4" s="1"/>
  <c r="N11" i="4"/>
  <c r="O11" i="4" s="1"/>
  <c r="N42" i="4"/>
  <c r="O42" i="4" s="1"/>
  <c r="N10" i="4"/>
  <c r="N41" i="4"/>
  <c r="O41" i="4" s="1"/>
  <c r="N9" i="4"/>
  <c r="O9" i="4" s="1"/>
  <c r="N21" i="4"/>
  <c r="O21" i="4" s="1"/>
  <c r="N8" i="4"/>
  <c r="N18" i="4"/>
  <c r="O18" i="4" s="1"/>
  <c r="N39" i="4"/>
  <c r="O39" i="4" s="1"/>
  <c r="N38" i="4"/>
  <c r="N37" i="4"/>
  <c r="O37" i="4" s="1"/>
  <c r="N5" i="4"/>
  <c r="O5" i="4" s="1"/>
  <c r="N16" i="4"/>
  <c r="N24" i="4"/>
  <c r="O24" i="4" s="1"/>
  <c r="N17" i="4"/>
  <c r="O17" i="4" s="1"/>
  <c r="N13" i="4"/>
  <c r="O13" i="4" s="1"/>
  <c r="N7" i="4"/>
  <c r="O7" i="4" s="1"/>
  <c r="N14" i="4"/>
  <c r="N40" i="4"/>
  <c r="N6" i="4"/>
  <c r="O6" i="4" s="1"/>
  <c r="N35" i="4"/>
  <c r="O35" i="4" s="1"/>
  <c r="N36" i="4"/>
  <c r="O36" i="4" s="1"/>
  <c r="N34" i="4"/>
  <c r="N33" i="4"/>
  <c r="O33" i="4" s="1"/>
  <c r="N23" i="4"/>
  <c r="O23" i="4" s="1"/>
  <c r="N32" i="4"/>
  <c r="N31" i="4"/>
  <c r="O31" i="4" s="1"/>
  <c r="N30" i="4"/>
  <c r="O30" i="4" s="1"/>
  <c r="N29" i="4"/>
  <c r="O29" i="4" s="1"/>
  <c r="N28" i="4"/>
  <c r="N27" i="4"/>
  <c r="O27" i="4" s="1"/>
  <c r="N26" i="4"/>
  <c r="N25" i="4"/>
  <c r="O25" i="4" s="1"/>
  <c r="N4" i="4"/>
  <c r="O4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<sst xmlns="http://schemas.openxmlformats.org/spreadsheetml/2006/main" count="2140" uniqueCount="80">
  <si>
    <t>Monta</t>
  </si>
  <si>
    <t>Node</t>
  </si>
  <si>
    <t>Load</t>
  </si>
  <si>
    <t>DX (mm)</t>
  </si>
  <si>
    <t>DY (mm)</t>
  </si>
  <si>
    <t>DZ (mm)</t>
  </si>
  <si>
    <t>RX ([rad])</t>
  </si>
  <si>
    <t>RY ([rad])</t>
  </si>
  <si>
    <t>RZ ([rad])</t>
  </si>
  <si>
    <t>G</t>
  </si>
  <si>
    <t>P</t>
  </si>
  <si>
    <t>C2</t>
  </si>
  <si>
    <t>C3</t>
  </si>
  <si>
    <t>Conci</t>
  </si>
  <si>
    <t>Nodo</t>
  </si>
  <si>
    <t>0.25M</t>
  </si>
  <si>
    <t xml:space="preserve">Z </t>
  </si>
  <si>
    <t>Monta di officina [mm]</t>
  </si>
  <si>
    <t>G1</t>
  </si>
  <si>
    <t>G2</t>
  </si>
  <si>
    <t>X [m]</t>
  </si>
  <si>
    <t>E2-Ritiro</t>
  </si>
  <si>
    <t>SP1</t>
  </si>
  <si>
    <t>BEAM</t>
  </si>
  <si>
    <t>Lu</t>
  </si>
  <si>
    <t>Concio</t>
  </si>
  <si>
    <t>Tandem</t>
  </si>
  <si>
    <t>Distr</t>
  </si>
  <si>
    <t>Tandem_Max_sx(min)</t>
  </si>
  <si>
    <t>Distr_Ecc_sx(min)</t>
  </si>
  <si>
    <t>Distr_max_sx(min)</t>
  </si>
  <si>
    <t>Tandem Max sx piazzola(min)</t>
  </si>
  <si>
    <t>Distr_ecc_sx_piazzola(min)</t>
  </si>
  <si>
    <t>CS-04</t>
  </si>
  <si>
    <t>CS-02</t>
  </si>
  <si>
    <t>CS-01</t>
  </si>
  <si>
    <t>CS-03</t>
  </si>
  <si>
    <t>CS-05</t>
  </si>
  <si>
    <t>P01</t>
  </si>
  <si>
    <t>CS-06</t>
  </si>
  <si>
    <t>CS-07</t>
  </si>
  <si>
    <t>CS-08</t>
  </si>
  <si>
    <t>CS-09</t>
  </si>
  <si>
    <t>P02</t>
  </si>
  <si>
    <t>CS-10</t>
  </si>
  <si>
    <t>CS-11</t>
  </si>
  <si>
    <t>CS-12</t>
  </si>
  <si>
    <t>CS-15</t>
  </si>
  <si>
    <t>CS-14</t>
  </si>
  <si>
    <t>CS-13</t>
  </si>
  <si>
    <t>P03</t>
  </si>
  <si>
    <t>P04</t>
  </si>
  <si>
    <t>P05</t>
  </si>
  <si>
    <t>P06</t>
  </si>
  <si>
    <t>P07</t>
  </si>
  <si>
    <t>Load case:</t>
  </si>
  <si>
    <t>Element</t>
  </si>
  <si>
    <t>X</t>
  </si>
  <si>
    <t>Y</t>
  </si>
  <si>
    <t>Z</t>
  </si>
  <si>
    <t>Type</t>
  </si>
  <si>
    <t>Sub Type</t>
  </si>
  <si>
    <t>Material</t>
  </si>
  <si>
    <t>Property</t>
  </si>
  <si>
    <t>B-Angle ([deg])</t>
  </si>
  <si>
    <t>Node1</t>
  </si>
  <si>
    <t>Node2</t>
  </si>
  <si>
    <t>Node3</t>
  </si>
  <si>
    <t>Node4</t>
  </si>
  <si>
    <t>Node5</t>
  </si>
  <si>
    <t>Node6</t>
  </si>
  <si>
    <t>Node7</t>
  </si>
  <si>
    <t>Node8</t>
  </si>
  <si>
    <t>Kind</t>
  </si>
  <si>
    <t>Hook/Gap (cm)</t>
  </si>
  <si>
    <t>Lu (cm)</t>
  </si>
  <si>
    <t>Tension (kgf)</t>
  </si>
  <si>
    <t>Allow. Comp/Tens (kgf)</t>
  </si>
  <si>
    <t>Use Limit</t>
  </si>
  <si>
    <t>Comp/Tens Limit (kgf)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</si>
</sst>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3" borderId="0" applyNumberFormat="0" applyBorder="0" applyAlignment="0" applyProtection="0"/>
  </cellStyleXfs>
  <cellXfs count="6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8" xfId="0" applyBorder="1"/>
    <xf numFmtId="0" fontId="0" fillId="2" borderId="1" xfId="0" applyFill="1" applyBorder="1"/>
    <xf numFmtId="0" fontId="2" fillId="0" borderId="0" xfId="0" applyFont="1"/>
    <xf numFmtId="0" fontId="2" fillId="0" borderId="14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0" xfId="0" applyNumberFormat="1"/>
    <xf numFmtId="0" fontId="0" fillId="0" borderId="16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0" xfId="0" applyAlignment="1">
      <alignment vertical="center"/>
    </xf>
    <xf numFmtId="0" fontId="0" fillId="2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" fontId="0" fillId="0" borderId="20" xfId="0" applyNumberFormat="1" applyBorder="1" applyAlignment="1">
      <alignment horizontal="center" vertical="center"/>
    </xf>
    <xf numFmtId="0" fontId="0" fillId="0" borderId="7" xfId="0" applyBorder="1" applyAlignment="1">
      <alignment vertical="center"/>
    </xf>
    <xf numFmtId="1" fontId="0" fillId="2" borderId="17" xfId="0" applyNumberFormat="1" applyFill="1" applyBorder="1" applyAlignment="1">
      <alignment horizontal="center"/>
    </xf>
    <xf numFmtId="164" fontId="0" fillId="2" borderId="17" xfId="0" applyNumberFormat="1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" fontId="0" fillId="2" borderId="10" xfId="0" applyNumberFormat="1" applyFill="1" applyBorder="1" applyAlignment="1">
      <alignment horizontal="center"/>
    </xf>
    <xf numFmtId="164" fontId="0" fillId="2" borderId="10" xfId="0" applyNumberFormat="1" applyFill="1" applyBorder="1" applyAlignment="1">
      <alignment horizontal="center"/>
    </xf>
    <xf numFmtId="2" fontId="0" fillId="2" borderId="17" xfId="0" applyNumberFormat="1" applyFill="1" applyBorder="1" applyAlignment="1">
      <alignment horizontal="center"/>
    </xf>
    <xf numFmtId="0" fontId="0" fillId="2" borderId="10" xfId="0" applyFill="1" applyBorder="1"/>
    <xf numFmtId="0" fontId="0" fillId="2" borderId="1" xfId="0" applyFill="1" applyBorder="1" applyAlignment="1">
      <alignment vertical="center"/>
    </xf>
    <xf numFmtId="0" fontId="0" fillId="0" borderId="24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4" xfId="0" applyFill="1" applyBorder="1" applyAlignment="1">
      <alignment horizontal="center"/>
    </xf>
    <xf numFmtId="0" fontId="0" fillId="2" borderId="17" xfId="0" applyFill="1" applyBorder="1" applyAlignment="1">
      <alignment vertical="center"/>
    </xf>
    <xf numFmtId="0" fontId="0" fillId="2" borderId="8" xfId="0" applyFill="1" applyBorder="1" applyAlignment="1">
      <alignment vertical="center"/>
    </xf>
    <xf numFmtId="0" fontId="0" fillId="5" borderId="0" xfId="0" applyFill="1"/>
    <xf numFmtId="0" fontId="5" fillId="0" borderId="0" xfId="0" applyFont="1" applyAlignment="1">
      <alignment horizontal="center"/>
    </xf>
    <xf numFmtId="1" fontId="5" fillId="0" borderId="0" xfId="0" applyNumberFormat="1" applyFont="1" applyAlignment="1">
      <alignment horizontal="center"/>
    </xf>
    <xf numFmtId="0" fontId="0" fillId="0" borderId="25" xfId="0" applyBorder="1" applyAlignment="1">
      <alignment horizontal="center" vertical="center"/>
    </xf>
    <xf numFmtId="0" fontId="3" fillId="3" borderId="26" xfId="1" applyBorder="1" applyAlignment="1">
      <alignment horizontal="center"/>
    </xf>
    <xf numFmtId="0" fontId="3" fillId="3" borderId="27" xfId="1" applyBorder="1" applyAlignment="1">
      <alignment horizontal="center"/>
    </xf>
    <xf numFmtId="0" fontId="3" fillId="3" borderId="28" xfId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0" fillId="7" borderId="4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6" xfId="0" applyFill="1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</cellXfs>
  <cellStyles count="2">
    <cellStyle name="20% - Colore 1" xfId="1" builtinId="30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Monta di</a:t>
            </a:r>
            <a:r>
              <a:rPr lang="it-IT" baseline="0"/>
              <a:t> officina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OUTput_Monta_TrSx!$D$4:$D$44</c:f>
              <c:numCache>
                <c:formatCode>0</c:formatCode>
                <c:ptCount val="41"/>
                <c:pt idx="0">
                  <c:v>0</c:v>
                </c:pt>
                <c:pt idx="1">
                  <c:v>7.6366550000000188</c:v>
                </c:pt>
                <c:pt idx="2">
                  <c:v>14.87809900000002</c:v>
                </c:pt>
                <c:pt idx="3">
                  <c:v>21.662330999999995</c:v>
                </c:pt>
                <c:pt idx="4">
                  <c:v>29.334581000000014</c:v>
                </c:pt>
                <c:pt idx="5">
                  <c:v>33.649891000000025</c:v>
                </c:pt>
                <c:pt idx="6">
                  <c:v>37.947632999999996</c:v>
                </c:pt>
                <c:pt idx="7">
                  <c:v>46.828286999999989</c:v>
                </c:pt>
                <c:pt idx="8">
                  <c:v>55.969531000000018</c:v>
                </c:pt>
                <c:pt idx="9">
                  <c:v>65.318670999999995</c:v>
                </c:pt>
                <c:pt idx="10">
                  <c:v>74.889313000000016</c:v>
                </c:pt>
                <c:pt idx="11">
                  <c:v>79.801487000000009</c:v>
                </c:pt>
                <c:pt idx="12">
                  <c:v>84.686364000000026</c:v>
                </c:pt>
                <c:pt idx="13">
                  <c:v>94.700616000000025</c:v>
                </c:pt>
                <c:pt idx="14">
                  <c:v>104.935652</c:v>
                </c:pt>
                <c:pt idx="15">
                  <c:v>115.33887300000001</c:v>
                </c:pt>
                <c:pt idx="16">
                  <c:v>125.91137300000003</c:v>
                </c:pt>
                <c:pt idx="17">
                  <c:v>131.29764200000002</c:v>
                </c:pt>
                <c:pt idx="18">
                  <c:v>136.65271000000001</c:v>
                </c:pt>
                <c:pt idx="19">
                  <c:v>147.59330000000003</c:v>
                </c:pt>
                <c:pt idx="20">
                  <c:v>158.67700100000002</c:v>
                </c:pt>
                <c:pt idx="21">
                  <c:v>169.88914100000002</c:v>
                </c:pt>
                <c:pt idx="22">
                  <c:v>181.26271600000001</c:v>
                </c:pt>
                <c:pt idx="23">
                  <c:v>186.979668</c:v>
                </c:pt>
                <c:pt idx="24">
                  <c:v>192.727282</c:v>
                </c:pt>
                <c:pt idx="25">
                  <c:v>204.32903200000001</c:v>
                </c:pt>
                <c:pt idx="26">
                  <c:v>216.03288500000002</c:v>
                </c:pt>
                <c:pt idx="27">
                  <c:v>227.80652200000003</c:v>
                </c:pt>
                <c:pt idx="28">
                  <c:v>239.66350600000001</c:v>
                </c:pt>
                <c:pt idx="29">
                  <c:v>245.63630800000001</c:v>
                </c:pt>
                <c:pt idx="30">
                  <c:v>251.60639200000003</c:v>
                </c:pt>
                <c:pt idx="31">
                  <c:v>263.625743</c:v>
                </c:pt>
                <c:pt idx="32">
                  <c:v>275.66110600000002</c:v>
                </c:pt>
                <c:pt idx="33">
                  <c:v>287.74140399999999</c:v>
                </c:pt>
                <c:pt idx="34">
                  <c:v>299.82629900000001</c:v>
                </c:pt>
                <c:pt idx="35">
                  <c:v>305.873606</c:v>
                </c:pt>
                <c:pt idx="36">
                  <c:v>311.92869000000002</c:v>
                </c:pt>
                <c:pt idx="37">
                  <c:v>323.00271900000001</c:v>
                </c:pt>
                <c:pt idx="38">
                  <c:v>333.13351399999999</c:v>
                </c:pt>
                <c:pt idx="39">
                  <c:v>344.17771600000003</c:v>
                </c:pt>
                <c:pt idx="40">
                  <c:v>356.125788</c:v>
                </c:pt>
              </c:numCache>
            </c:numRef>
          </c:xVal>
          <c:yVal>
            <c:numRef>
              <c:f>OUTput_Monta_TrSx!$O$4:$O$44</c:f>
              <c:numCache>
                <c:formatCode>General</c:formatCode>
                <c:ptCount val="41"/>
                <c:pt idx="0">
                  <c:v>0</c:v>
                </c:pt>
                <c:pt idx="1">
                  <c:v>45</c:v>
                </c:pt>
                <c:pt idx="2">
                  <c:v>55</c:v>
                </c:pt>
                <c:pt idx="3">
                  <c:v>40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35</c:v>
                </c:pt>
                <c:pt idx="8">
                  <c:v>50</c:v>
                </c:pt>
                <c:pt idx="9">
                  <c:v>35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40</c:v>
                </c:pt>
                <c:pt idx="14">
                  <c:v>55</c:v>
                </c:pt>
                <c:pt idx="15">
                  <c:v>40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35</c:v>
                </c:pt>
                <c:pt idx="20">
                  <c:v>50</c:v>
                </c:pt>
                <c:pt idx="21">
                  <c:v>35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40</c:v>
                </c:pt>
                <c:pt idx="26">
                  <c:v>55</c:v>
                </c:pt>
                <c:pt idx="27">
                  <c:v>40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35</c:v>
                </c:pt>
                <c:pt idx="32">
                  <c:v>50</c:v>
                </c:pt>
                <c:pt idx="33">
                  <c:v>35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35</c:v>
                </c:pt>
                <c:pt idx="38">
                  <c:v>45</c:v>
                </c:pt>
                <c:pt idx="39">
                  <c:v>40</c:v>
                </c:pt>
                <c:pt idx="4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D4-41B8-9ECE-7E5153848A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160768"/>
        <c:axId val="2070783520"/>
      </c:scatterChart>
      <c:valAx>
        <c:axId val="156160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Luce Viadotto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70783520"/>
        <c:crosses val="autoZero"/>
        <c:crossBetween val="midCat"/>
      </c:valAx>
      <c:valAx>
        <c:axId val="207078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[mm]</a:t>
                </a:r>
              </a:p>
            </c:rich>
          </c:tx>
          <c:layout>
            <c:manualLayout>
              <c:xMode val="edge"/>
              <c:yMode val="edge"/>
              <c:x val="1.3695585398018257E-2"/>
              <c:y val="0.45678359831453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6160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544284</xdr:colOff>
      <xdr:row>27</xdr:row>
      <xdr:rowOff>27214</xdr:rowOff>
    </xdr:from>
    <xdr:to>
      <xdr:col>34</xdr:col>
      <xdr:colOff>503464</xdr:colOff>
      <xdr:row>45</xdr:row>
      <xdr:rowOff>182947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08F565ED-39A1-463F-895A-715EFBC2A6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F3E69-452C-40D3-BF47-72EDC63B653C}">
  <sheetPr codeName="Foglio1"/>
  <dimension ref="A1:U861"/>
  <sheetViews>
    <sheetView workbookViewId="0">
      <selection activeCell="H9" sqref="H9"/>
    </sheetView>
  </sheetViews>
  <sheetFormatPr defaultRowHeight="15" x14ac:dyDescent="0.25"/>
  <cols>
    <col min="21" max="21" width="20.85546875" bestFit="1" customWidth="1"/>
  </cols>
  <sheetData>
    <row r="1" spans="1:21" x14ac:dyDescent="0.25">
      <c r="A1" s="44" t="s">
        <v>56</v>
      </c>
      <c r="B1" s="44" t="s">
        <v>60</v>
      </c>
      <c r="C1" s="44" t="s">
        <v>61</v>
      </c>
      <c r="D1" s="44" t="s">
        <v>62</v>
      </c>
      <c r="E1" s="44" t="s">
        <v>63</v>
      </c>
      <c r="F1" s="44" t="s">
        <v>64</v>
      </c>
      <c r="G1" s="44" t="s">
        <v>65</v>
      </c>
      <c r="H1" s="44" t="s">
        <v>66</v>
      </c>
      <c r="I1" s="44" t="s">
        <v>67</v>
      </c>
      <c r="J1" s="44" t="s">
        <v>68</v>
      </c>
      <c r="K1" s="44" t="s">
        <v>69</v>
      </c>
      <c r="L1" s="44" t="s">
        <v>70</v>
      </c>
      <c r="M1" s="44" t="s">
        <v>71</v>
      </c>
      <c r="N1" s="44" t="s">
        <v>72</v>
      </c>
      <c r="O1" s="44" t="s">
        <v>73</v>
      </c>
      <c r="P1" s="44" t="s">
        <v>74</v>
      </c>
      <c r="Q1" s="44" t="s">
        <v>75</v>
      </c>
      <c r="R1" s="44" t="s">
        <v>76</v>
      </c>
      <c r="S1" s="44" t="s">
        <v>77</v>
      </c>
      <c r="T1" s="44" t="s">
        <v>78</v>
      </c>
      <c r="U1" s="44" t="s">
        <v>79</v>
      </c>
    </row>
    <row r="2" spans="1:21" x14ac:dyDescent="0.25">
      <c r="A2">
        <v>1</v>
      </c>
      <c r="B2" t="s">
        <v>23</v>
      </c>
      <c r="D2">
        <v>1</v>
      </c>
      <c r="E2">
        <v>1</v>
      </c>
      <c r="F2">
        <v>0</v>
      </c>
      <c r="G2">
        <v>2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 t="s">
        <v>24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25">
      <c r="A3">
        <v>2</v>
      </c>
      <c r="B3" t="s">
        <v>23</v>
      </c>
      <c r="D3">
        <v>1</v>
      </c>
      <c r="E3">
        <v>1</v>
      </c>
      <c r="F3">
        <v>0</v>
      </c>
      <c r="G3">
        <v>3</v>
      </c>
      <c r="H3">
        <v>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 t="s">
        <v>24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 x14ac:dyDescent="0.25">
      <c r="A4">
        <v>3</v>
      </c>
      <c r="B4" t="s">
        <v>23</v>
      </c>
      <c r="D4">
        <v>1</v>
      </c>
      <c r="E4">
        <v>1</v>
      </c>
      <c r="F4">
        <v>0</v>
      </c>
      <c r="G4">
        <v>4</v>
      </c>
      <c r="H4">
        <v>3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 t="s">
        <v>24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 x14ac:dyDescent="0.25">
      <c r="A5">
        <v>4</v>
      </c>
      <c r="B5" t="s">
        <v>23</v>
      </c>
      <c r="D5">
        <v>1</v>
      </c>
      <c r="E5">
        <v>1</v>
      </c>
      <c r="F5">
        <v>0</v>
      </c>
      <c r="G5">
        <v>5</v>
      </c>
      <c r="H5">
        <v>4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 t="s">
        <v>24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 x14ac:dyDescent="0.25">
      <c r="A6">
        <v>5</v>
      </c>
      <c r="B6" t="s">
        <v>23</v>
      </c>
      <c r="D6">
        <v>1</v>
      </c>
      <c r="E6">
        <v>1</v>
      </c>
      <c r="F6">
        <v>0</v>
      </c>
      <c r="G6">
        <v>6</v>
      </c>
      <c r="H6">
        <v>5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 t="s">
        <v>24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 x14ac:dyDescent="0.25">
      <c r="A7">
        <v>6</v>
      </c>
      <c r="B7" t="s">
        <v>23</v>
      </c>
      <c r="D7">
        <v>1</v>
      </c>
      <c r="E7">
        <v>1</v>
      </c>
      <c r="F7">
        <v>0</v>
      </c>
      <c r="G7">
        <v>7</v>
      </c>
      <c r="H7">
        <v>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 t="s">
        <v>24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 x14ac:dyDescent="0.25">
      <c r="A8">
        <v>7</v>
      </c>
      <c r="B8" t="s">
        <v>23</v>
      </c>
      <c r="D8">
        <v>1</v>
      </c>
      <c r="E8">
        <v>1</v>
      </c>
      <c r="F8">
        <v>0</v>
      </c>
      <c r="G8">
        <v>8</v>
      </c>
      <c r="H8">
        <v>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 t="s">
        <v>24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 x14ac:dyDescent="0.25">
      <c r="A9">
        <v>8</v>
      </c>
      <c r="B9" t="s">
        <v>23</v>
      </c>
      <c r="D9">
        <v>1</v>
      </c>
      <c r="E9">
        <v>1</v>
      </c>
      <c r="F9">
        <v>0</v>
      </c>
      <c r="G9">
        <v>9</v>
      </c>
      <c r="H9">
        <v>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 t="s">
        <v>24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 x14ac:dyDescent="0.25">
      <c r="A10">
        <v>9</v>
      </c>
      <c r="B10" t="s">
        <v>23</v>
      </c>
      <c r="D10">
        <v>1</v>
      </c>
      <c r="E10">
        <v>1</v>
      </c>
      <c r="F10">
        <v>0</v>
      </c>
      <c r="G10">
        <v>10</v>
      </c>
      <c r="H10">
        <v>9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 t="s">
        <v>24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 x14ac:dyDescent="0.25">
      <c r="A11">
        <v>10</v>
      </c>
      <c r="B11" t="s">
        <v>23</v>
      </c>
      <c r="D11">
        <v>1</v>
      </c>
      <c r="E11">
        <v>1</v>
      </c>
      <c r="F11">
        <v>0</v>
      </c>
      <c r="G11">
        <v>11</v>
      </c>
      <c r="H11">
        <v>10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 t="s">
        <v>24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 x14ac:dyDescent="0.25">
      <c r="A12">
        <v>11</v>
      </c>
      <c r="B12" t="s">
        <v>23</v>
      </c>
      <c r="D12">
        <v>1</v>
      </c>
      <c r="E12">
        <v>1</v>
      </c>
      <c r="F12">
        <v>0</v>
      </c>
      <c r="G12">
        <v>12</v>
      </c>
      <c r="H12">
        <v>11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 t="s">
        <v>24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 x14ac:dyDescent="0.25">
      <c r="A13">
        <v>12</v>
      </c>
      <c r="B13" t="s">
        <v>23</v>
      </c>
      <c r="D13">
        <v>1</v>
      </c>
      <c r="E13">
        <v>1</v>
      </c>
      <c r="F13">
        <v>0</v>
      </c>
      <c r="G13">
        <v>13</v>
      </c>
      <c r="H13">
        <v>12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 t="s">
        <v>24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 x14ac:dyDescent="0.25">
      <c r="A14">
        <v>13</v>
      </c>
      <c r="B14" t="s">
        <v>23</v>
      </c>
      <c r="D14">
        <v>1</v>
      </c>
      <c r="E14">
        <v>2</v>
      </c>
      <c r="F14">
        <v>0</v>
      </c>
      <c r="G14">
        <v>14</v>
      </c>
      <c r="H14">
        <v>13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 t="s">
        <v>24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 x14ac:dyDescent="0.25">
      <c r="A15">
        <v>14</v>
      </c>
      <c r="B15" t="s">
        <v>23</v>
      </c>
      <c r="D15">
        <v>1</v>
      </c>
      <c r="E15">
        <v>2</v>
      </c>
      <c r="F15">
        <v>0</v>
      </c>
      <c r="G15">
        <v>15</v>
      </c>
      <c r="H15">
        <v>14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 t="s">
        <v>24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 x14ac:dyDescent="0.25">
      <c r="A16">
        <v>15</v>
      </c>
      <c r="B16" t="s">
        <v>23</v>
      </c>
      <c r="D16">
        <v>1</v>
      </c>
      <c r="E16">
        <v>2</v>
      </c>
      <c r="F16">
        <v>0</v>
      </c>
      <c r="G16">
        <v>16</v>
      </c>
      <c r="H16">
        <v>15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 t="s">
        <v>24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 x14ac:dyDescent="0.25">
      <c r="A17">
        <v>16</v>
      </c>
      <c r="B17" t="s">
        <v>23</v>
      </c>
      <c r="D17">
        <v>1</v>
      </c>
      <c r="E17">
        <v>2</v>
      </c>
      <c r="F17">
        <v>0</v>
      </c>
      <c r="G17">
        <v>17</v>
      </c>
      <c r="H17">
        <v>16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 t="s">
        <v>24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25">
      <c r="A18">
        <v>17</v>
      </c>
      <c r="B18" t="s">
        <v>23</v>
      </c>
      <c r="D18">
        <v>1</v>
      </c>
      <c r="E18">
        <v>2</v>
      </c>
      <c r="F18">
        <v>0</v>
      </c>
      <c r="G18">
        <v>18</v>
      </c>
      <c r="H18">
        <v>17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 t="s">
        <v>24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25">
      <c r="A19">
        <v>18</v>
      </c>
      <c r="B19" t="s">
        <v>23</v>
      </c>
      <c r="D19">
        <v>1</v>
      </c>
      <c r="E19">
        <v>2</v>
      </c>
      <c r="F19">
        <v>0</v>
      </c>
      <c r="G19">
        <v>19</v>
      </c>
      <c r="H19">
        <v>18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 t="s">
        <v>24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 x14ac:dyDescent="0.25">
      <c r="A20">
        <v>19</v>
      </c>
      <c r="B20" t="s">
        <v>23</v>
      </c>
      <c r="D20">
        <v>1</v>
      </c>
      <c r="E20">
        <v>2</v>
      </c>
      <c r="F20">
        <v>0</v>
      </c>
      <c r="G20">
        <v>20</v>
      </c>
      <c r="H20">
        <v>19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 t="s">
        <v>24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25">
      <c r="A21">
        <v>20</v>
      </c>
      <c r="B21" t="s">
        <v>23</v>
      </c>
      <c r="D21">
        <v>1</v>
      </c>
      <c r="E21">
        <v>2</v>
      </c>
      <c r="F21">
        <v>0</v>
      </c>
      <c r="G21">
        <v>21</v>
      </c>
      <c r="H21">
        <v>20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 t="s">
        <v>24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25">
      <c r="A22">
        <v>21</v>
      </c>
      <c r="B22" t="s">
        <v>23</v>
      </c>
      <c r="D22">
        <v>1</v>
      </c>
      <c r="E22">
        <v>2</v>
      </c>
      <c r="F22">
        <v>0</v>
      </c>
      <c r="G22">
        <v>22</v>
      </c>
      <c r="H22">
        <v>21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 t="s">
        <v>24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 x14ac:dyDescent="0.25">
      <c r="A23">
        <v>22</v>
      </c>
      <c r="B23" t="s">
        <v>23</v>
      </c>
      <c r="D23">
        <v>1</v>
      </c>
      <c r="E23">
        <v>2</v>
      </c>
      <c r="F23">
        <v>0</v>
      </c>
      <c r="G23">
        <v>23</v>
      </c>
      <c r="H23">
        <v>22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 t="s">
        <v>24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 x14ac:dyDescent="0.25">
      <c r="A24">
        <v>23</v>
      </c>
      <c r="B24" t="s">
        <v>23</v>
      </c>
      <c r="D24">
        <v>1</v>
      </c>
      <c r="E24">
        <v>2</v>
      </c>
      <c r="F24">
        <v>0</v>
      </c>
      <c r="G24">
        <v>24</v>
      </c>
      <c r="H24">
        <v>23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 t="s">
        <v>24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 x14ac:dyDescent="0.25">
      <c r="A25">
        <v>24</v>
      </c>
      <c r="B25" t="s">
        <v>23</v>
      </c>
      <c r="D25">
        <v>1</v>
      </c>
      <c r="E25">
        <v>2</v>
      </c>
      <c r="F25">
        <v>0</v>
      </c>
      <c r="G25">
        <v>25</v>
      </c>
      <c r="H25">
        <v>24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 t="s">
        <v>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 x14ac:dyDescent="0.25">
      <c r="A26">
        <v>25</v>
      </c>
      <c r="B26" t="s">
        <v>23</v>
      </c>
      <c r="D26">
        <v>1</v>
      </c>
      <c r="E26">
        <v>3</v>
      </c>
      <c r="F26">
        <v>0</v>
      </c>
      <c r="G26">
        <v>26</v>
      </c>
      <c r="H26">
        <v>25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 t="s">
        <v>24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 x14ac:dyDescent="0.25">
      <c r="A27">
        <v>26</v>
      </c>
      <c r="B27" t="s">
        <v>23</v>
      </c>
      <c r="D27">
        <v>1</v>
      </c>
      <c r="E27">
        <v>3</v>
      </c>
      <c r="F27">
        <v>0</v>
      </c>
      <c r="G27">
        <v>27</v>
      </c>
      <c r="H27">
        <v>26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 t="s">
        <v>24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 x14ac:dyDescent="0.25">
      <c r="A28">
        <v>27</v>
      </c>
      <c r="B28" t="s">
        <v>23</v>
      </c>
      <c r="D28">
        <v>1</v>
      </c>
      <c r="E28">
        <v>3</v>
      </c>
      <c r="F28">
        <v>0</v>
      </c>
      <c r="G28">
        <v>28</v>
      </c>
      <c r="H28">
        <v>27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 t="s">
        <v>24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 x14ac:dyDescent="0.25">
      <c r="A29">
        <v>28</v>
      </c>
      <c r="B29" t="s">
        <v>23</v>
      </c>
      <c r="D29">
        <v>1</v>
      </c>
      <c r="E29">
        <v>3</v>
      </c>
      <c r="F29">
        <v>0</v>
      </c>
      <c r="G29">
        <v>29</v>
      </c>
      <c r="H29">
        <v>28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 t="s">
        <v>24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 x14ac:dyDescent="0.25">
      <c r="A30">
        <v>29</v>
      </c>
      <c r="B30" t="s">
        <v>23</v>
      </c>
      <c r="D30">
        <v>1</v>
      </c>
      <c r="E30">
        <v>3</v>
      </c>
      <c r="F30">
        <v>0</v>
      </c>
      <c r="G30">
        <v>30</v>
      </c>
      <c r="H30">
        <v>29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 t="s">
        <v>24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 x14ac:dyDescent="0.25">
      <c r="A31">
        <v>30</v>
      </c>
      <c r="B31" t="s">
        <v>23</v>
      </c>
      <c r="D31">
        <v>1</v>
      </c>
      <c r="E31">
        <v>3</v>
      </c>
      <c r="F31">
        <v>0</v>
      </c>
      <c r="G31">
        <v>31</v>
      </c>
      <c r="H31">
        <v>30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 t="s">
        <v>24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 x14ac:dyDescent="0.25">
      <c r="A32">
        <v>31</v>
      </c>
      <c r="B32" t="s">
        <v>23</v>
      </c>
      <c r="D32">
        <v>1</v>
      </c>
      <c r="E32">
        <v>3</v>
      </c>
      <c r="F32">
        <v>0</v>
      </c>
      <c r="G32">
        <v>32</v>
      </c>
      <c r="H32">
        <v>31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 t="s">
        <v>24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 x14ac:dyDescent="0.25">
      <c r="A33">
        <v>32</v>
      </c>
      <c r="B33" t="s">
        <v>23</v>
      </c>
      <c r="D33">
        <v>1</v>
      </c>
      <c r="E33">
        <v>3</v>
      </c>
      <c r="F33">
        <v>0</v>
      </c>
      <c r="G33">
        <v>33</v>
      </c>
      <c r="H33">
        <v>32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 t="s">
        <v>24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 x14ac:dyDescent="0.25">
      <c r="A34">
        <v>33</v>
      </c>
      <c r="B34" t="s">
        <v>23</v>
      </c>
      <c r="D34">
        <v>1</v>
      </c>
      <c r="E34">
        <v>3</v>
      </c>
      <c r="F34">
        <v>0</v>
      </c>
      <c r="G34">
        <v>34</v>
      </c>
      <c r="H34">
        <v>33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 t="s">
        <v>24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 x14ac:dyDescent="0.25">
      <c r="A35">
        <v>34</v>
      </c>
      <c r="B35" t="s">
        <v>23</v>
      </c>
      <c r="D35">
        <v>1</v>
      </c>
      <c r="E35">
        <v>3</v>
      </c>
      <c r="F35">
        <v>0</v>
      </c>
      <c r="G35">
        <v>35</v>
      </c>
      <c r="H35">
        <v>34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 t="s">
        <v>24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 x14ac:dyDescent="0.25">
      <c r="A36">
        <v>35</v>
      </c>
      <c r="B36" t="s">
        <v>23</v>
      </c>
      <c r="D36">
        <v>1</v>
      </c>
      <c r="E36">
        <v>3</v>
      </c>
      <c r="F36">
        <v>0</v>
      </c>
      <c r="G36">
        <v>36</v>
      </c>
      <c r="H36">
        <v>35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 t="s">
        <v>24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 x14ac:dyDescent="0.25">
      <c r="A37">
        <v>36</v>
      </c>
      <c r="B37" t="s">
        <v>23</v>
      </c>
      <c r="D37">
        <v>1</v>
      </c>
      <c r="E37">
        <v>4</v>
      </c>
      <c r="F37">
        <v>0</v>
      </c>
      <c r="G37">
        <v>37</v>
      </c>
      <c r="H37">
        <v>36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 t="s">
        <v>24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 x14ac:dyDescent="0.25">
      <c r="A38">
        <v>37</v>
      </c>
      <c r="B38" t="s">
        <v>23</v>
      </c>
      <c r="D38">
        <v>1</v>
      </c>
      <c r="E38">
        <v>4</v>
      </c>
      <c r="F38">
        <v>0</v>
      </c>
      <c r="G38">
        <v>38</v>
      </c>
      <c r="H38">
        <v>37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 t="s">
        <v>24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 x14ac:dyDescent="0.25">
      <c r="A39">
        <v>38</v>
      </c>
      <c r="B39" t="s">
        <v>23</v>
      </c>
      <c r="D39">
        <v>1</v>
      </c>
      <c r="E39">
        <v>4</v>
      </c>
      <c r="F39">
        <v>0</v>
      </c>
      <c r="G39">
        <v>39</v>
      </c>
      <c r="H39">
        <v>38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 t="s">
        <v>24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 x14ac:dyDescent="0.25">
      <c r="A40">
        <v>39</v>
      </c>
      <c r="B40" t="s">
        <v>23</v>
      </c>
      <c r="D40">
        <v>1</v>
      </c>
      <c r="E40">
        <v>4</v>
      </c>
      <c r="F40">
        <v>0</v>
      </c>
      <c r="G40">
        <v>40</v>
      </c>
      <c r="H40">
        <v>39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 t="s">
        <v>24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 x14ac:dyDescent="0.25">
      <c r="A41">
        <v>40</v>
      </c>
      <c r="B41" t="s">
        <v>23</v>
      </c>
      <c r="D41">
        <v>1</v>
      </c>
      <c r="E41">
        <v>4</v>
      </c>
      <c r="F41">
        <v>0</v>
      </c>
      <c r="G41">
        <v>41</v>
      </c>
      <c r="H41">
        <v>40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 t="s">
        <v>24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 x14ac:dyDescent="0.25">
      <c r="A42">
        <v>41</v>
      </c>
      <c r="B42" t="s">
        <v>23</v>
      </c>
      <c r="D42">
        <v>1</v>
      </c>
      <c r="E42">
        <v>4</v>
      </c>
      <c r="F42">
        <v>0</v>
      </c>
      <c r="G42">
        <v>42</v>
      </c>
      <c r="H42">
        <v>41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 t="s">
        <v>24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 x14ac:dyDescent="0.25">
      <c r="A43">
        <v>42</v>
      </c>
      <c r="B43" t="s">
        <v>23</v>
      </c>
      <c r="D43">
        <v>1</v>
      </c>
      <c r="E43">
        <v>4</v>
      </c>
      <c r="F43">
        <v>0</v>
      </c>
      <c r="G43">
        <v>43</v>
      </c>
      <c r="H43">
        <v>42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 t="s">
        <v>24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 x14ac:dyDescent="0.25">
      <c r="A44">
        <v>43</v>
      </c>
      <c r="B44" t="s">
        <v>23</v>
      </c>
      <c r="D44">
        <v>1</v>
      </c>
      <c r="E44">
        <v>4</v>
      </c>
      <c r="F44">
        <v>0</v>
      </c>
      <c r="G44">
        <v>44</v>
      </c>
      <c r="H44">
        <v>43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 t="s">
        <v>24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 x14ac:dyDescent="0.25">
      <c r="A45">
        <v>44</v>
      </c>
      <c r="B45" t="s">
        <v>23</v>
      </c>
      <c r="D45">
        <v>1</v>
      </c>
      <c r="E45">
        <v>4</v>
      </c>
      <c r="F45">
        <v>0</v>
      </c>
      <c r="G45">
        <v>45</v>
      </c>
      <c r="H45">
        <v>44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 t="s">
        <v>24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 x14ac:dyDescent="0.25">
      <c r="A46">
        <v>45</v>
      </c>
      <c r="B46" t="s">
        <v>23</v>
      </c>
      <c r="D46">
        <v>1</v>
      </c>
      <c r="E46">
        <v>4</v>
      </c>
      <c r="F46">
        <v>0</v>
      </c>
      <c r="G46">
        <v>46</v>
      </c>
      <c r="H46">
        <v>45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 t="s">
        <v>24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 x14ac:dyDescent="0.25">
      <c r="A47">
        <v>46</v>
      </c>
      <c r="B47" t="s">
        <v>23</v>
      </c>
      <c r="D47">
        <v>1</v>
      </c>
      <c r="E47">
        <v>4</v>
      </c>
      <c r="F47">
        <v>0</v>
      </c>
      <c r="G47">
        <v>47</v>
      </c>
      <c r="H47">
        <v>46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 t="s">
        <v>24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 x14ac:dyDescent="0.25">
      <c r="A48">
        <v>47</v>
      </c>
      <c r="B48" t="s">
        <v>23</v>
      </c>
      <c r="D48">
        <v>1</v>
      </c>
      <c r="E48">
        <v>4</v>
      </c>
      <c r="F48">
        <v>0</v>
      </c>
      <c r="G48">
        <v>48</v>
      </c>
      <c r="H48">
        <v>47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 t="s">
        <v>24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 x14ac:dyDescent="0.25">
      <c r="A49">
        <v>48</v>
      </c>
      <c r="B49" t="s">
        <v>23</v>
      </c>
      <c r="D49">
        <v>1</v>
      </c>
      <c r="E49">
        <v>5</v>
      </c>
      <c r="F49">
        <v>0</v>
      </c>
      <c r="G49">
        <v>49</v>
      </c>
      <c r="H49">
        <v>48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 t="s">
        <v>24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 x14ac:dyDescent="0.25">
      <c r="A50">
        <v>49</v>
      </c>
      <c r="B50" t="s">
        <v>23</v>
      </c>
      <c r="D50">
        <v>1</v>
      </c>
      <c r="E50">
        <v>5</v>
      </c>
      <c r="F50">
        <v>0</v>
      </c>
      <c r="G50">
        <v>50</v>
      </c>
      <c r="H50">
        <v>49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 t="s">
        <v>24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 x14ac:dyDescent="0.25">
      <c r="A51">
        <v>50</v>
      </c>
      <c r="B51" t="s">
        <v>23</v>
      </c>
      <c r="D51">
        <v>1</v>
      </c>
      <c r="E51">
        <v>5</v>
      </c>
      <c r="F51">
        <v>0</v>
      </c>
      <c r="G51">
        <v>51</v>
      </c>
      <c r="H51">
        <v>50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 t="s">
        <v>24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 x14ac:dyDescent="0.25">
      <c r="A52">
        <v>51</v>
      </c>
      <c r="B52" t="s">
        <v>23</v>
      </c>
      <c r="D52">
        <v>1</v>
      </c>
      <c r="E52">
        <v>5</v>
      </c>
      <c r="F52">
        <v>0</v>
      </c>
      <c r="G52">
        <v>52</v>
      </c>
      <c r="H52">
        <v>51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 t="s">
        <v>24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 x14ac:dyDescent="0.25">
      <c r="A53">
        <v>52</v>
      </c>
      <c r="B53" t="s">
        <v>23</v>
      </c>
      <c r="D53">
        <v>1</v>
      </c>
      <c r="E53">
        <v>5</v>
      </c>
      <c r="F53">
        <v>0</v>
      </c>
      <c r="G53">
        <v>53</v>
      </c>
      <c r="H53">
        <v>52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 t="s">
        <v>24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 x14ac:dyDescent="0.25">
      <c r="A54">
        <v>53</v>
      </c>
      <c r="B54" t="s">
        <v>23</v>
      </c>
      <c r="D54">
        <v>1</v>
      </c>
      <c r="E54">
        <v>5</v>
      </c>
      <c r="F54">
        <v>0</v>
      </c>
      <c r="G54">
        <v>54</v>
      </c>
      <c r="H54">
        <v>53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 t="s">
        <v>24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 x14ac:dyDescent="0.25">
      <c r="A55">
        <v>54</v>
      </c>
      <c r="B55" t="s">
        <v>23</v>
      </c>
      <c r="D55">
        <v>1</v>
      </c>
      <c r="E55">
        <v>5</v>
      </c>
      <c r="F55">
        <v>0</v>
      </c>
      <c r="G55">
        <v>55</v>
      </c>
      <c r="H55">
        <v>54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 t="s">
        <v>24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1" x14ac:dyDescent="0.25">
      <c r="A56">
        <v>55</v>
      </c>
      <c r="B56" t="s">
        <v>23</v>
      </c>
      <c r="D56">
        <v>1</v>
      </c>
      <c r="E56">
        <v>5</v>
      </c>
      <c r="F56">
        <v>0</v>
      </c>
      <c r="G56">
        <v>56</v>
      </c>
      <c r="H56">
        <v>55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 t="s">
        <v>24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 x14ac:dyDescent="0.25">
      <c r="A57">
        <v>56</v>
      </c>
      <c r="B57" t="s">
        <v>23</v>
      </c>
      <c r="D57">
        <v>1</v>
      </c>
      <c r="E57">
        <v>5</v>
      </c>
      <c r="F57">
        <v>0</v>
      </c>
      <c r="G57">
        <v>57</v>
      </c>
      <c r="H57">
        <v>56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 t="s">
        <v>24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 x14ac:dyDescent="0.25">
      <c r="A58">
        <v>57</v>
      </c>
      <c r="B58" t="s">
        <v>23</v>
      </c>
      <c r="D58">
        <v>1</v>
      </c>
      <c r="E58">
        <v>5</v>
      </c>
      <c r="F58">
        <v>0</v>
      </c>
      <c r="G58">
        <v>58</v>
      </c>
      <c r="H58">
        <v>57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 t="s">
        <v>24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 x14ac:dyDescent="0.25">
      <c r="A59">
        <v>58</v>
      </c>
      <c r="B59" t="s">
        <v>23</v>
      </c>
      <c r="D59">
        <v>1</v>
      </c>
      <c r="E59">
        <v>5</v>
      </c>
      <c r="F59">
        <v>0</v>
      </c>
      <c r="G59">
        <v>59</v>
      </c>
      <c r="H59">
        <v>58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 t="s">
        <v>24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 x14ac:dyDescent="0.25">
      <c r="A60">
        <v>59</v>
      </c>
      <c r="B60" t="s">
        <v>23</v>
      </c>
      <c r="D60">
        <v>1</v>
      </c>
      <c r="E60">
        <v>5</v>
      </c>
      <c r="F60">
        <v>0</v>
      </c>
      <c r="G60">
        <v>60</v>
      </c>
      <c r="H60">
        <v>59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 t="s">
        <v>24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 x14ac:dyDescent="0.25">
      <c r="A61">
        <v>60</v>
      </c>
      <c r="B61" t="s">
        <v>23</v>
      </c>
      <c r="D61">
        <v>1</v>
      </c>
      <c r="E61">
        <v>5</v>
      </c>
      <c r="F61">
        <v>0</v>
      </c>
      <c r="G61">
        <v>61</v>
      </c>
      <c r="H61">
        <v>60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 t="s">
        <v>24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 x14ac:dyDescent="0.25">
      <c r="A62">
        <v>61</v>
      </c>
      <c r="B62" t="s">
        <v>23</v>
      </c>
      <c r="D62">
        <v>1</v>
      </c>
      <c r="E62">
        <v>6</v>
      </c>
      <c r="F62">
        <v>0</v>
      </c>
      <c r="G62">
        <v>62</v>
      </c>
      <c r="H62">
        <v>61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 t="s">
        <v>24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</row>
    <row r="63" spans="1:21" x14ac:dyDescent="0.25">
      <c r="A63">
        <v>62</v>
      </c>
      <c r="B63" t="s">
        <v>23</v>
      </c>
      <c r="D63">
        <v>1</v>
      </c>
      <c r="E63">
        <v>6</v>
      </c>
      <c r="F63">
        <v>0</v>
      </c>
      <c r="G63">
        <v>63</v>
      </c>
      <c r="H63">
        <v>62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 t="s">
        <v>24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</row>
    <row r="64" spans="1:21" x14ac:dyDescent="0.25">
      <c r="A64">
        <v>63</v>
      </c>
      <c r="B64" t="s">
        <v>23</v>
      </c>
      <c r="D64">
        <v>1</v>
      </c>
      <c r="E64">
        <v>6</v>
      </c>
      <c r="F64">
        <v>0</v>
      </c>
      <c r="G64">
        <v>64</v>
      </c>
      <c r="H64">
        <v>63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 t="s">
        <v>24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 x14ac:dyDescent="0.25">
      <c r="A65">
        <v>64</v>
      </c>
      <c r="B65" t="s">
        <v>23</v>
      </c>
      <c r="D65">
        <v>1</v>
      </c>
      <c r="E65">
        <v>6</v>
      </c>
      <c r="F65">
        <v>0</v>
      </c>
      <c r="G65">
        <v>65</v>
      </c>
      <c r="H65">
        <v>64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 t="s">
        <v>24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</row>
    <row r="66" spans="1:21" x14ac:dyDescent="0.25">
      <c r="A66">
        <v>65</v>
      </c>
      <c r="B66" t="s">
        <v>23</v>
      </c>
      <c r="D66">
        <v>1</v>
      </c>
      <c r="E66">
        <v>6</v>
      </c>
      <c r="F66">
        <v>0</v>
      </c>
      <c r="G66">
        <v>66</v>
      </c>
      <c r="H66">
        <v>65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 t="s">
        <v>24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</row>
    <row r="67" spans="1:21" x14ac:dyDescent="0.25">
      <c r="A67">
        <v>66</v>
      </c>
      <c r="B67" t="s">
        <v>23</v>
      </c>
      <c r="D67">
        <v>1</v>
      </c>
      <c r="E67">
        <v>6</v>
      </c>
      <c r="F67">
        <v>0</v>
      </c>
      <c r="G67">
        <v>67</v>
      </c>
      <c r="H67">
        <v>66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 t="s">
        <v>24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</row>
    <row r="68" spans="1:21" x14ac:dyDescent="0.25">
      <c r="A68">
        <v>67</v>
      </c>
      <c r="B68" t="s">
        <v>23</v>
      </c>
      <c r="D68">
        <v>1</v>
      </c>
      <c r="E68">
        <v>6</v>
      </c>
      <c r="F68">
        <v>0</v>
      </c>
      <c r="G68">
        <v>68</v>
      </c>
      <c r="H68">
        <v>67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 t="s">
        <v>24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</row>
    <row r="69" spans="1:21" x14ac:dyDescent="0.25">
      <c r="A69">
        <v>68</v>
      </c>
      <c r="B69" t="s">
        <v>23</v>
      </c>
      <c r="D69">
        <v>1</v>
      </c>
      <c r="E69">
        <v>6</v>
      </c>
      <c r="F69">
        <v>0</v>
      </c>
      <c r="G69">
        <v>69</v>
      </c>
      <c r="H69">
        <v>68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 t="s">
        <v>24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</row>
    <row r="70" spans="1:21" x14ac:dyDescent="0.25">
      <c r="A70">
        <v>69</v>
      </c>
      <c r="B70" t="s">
        <v>23</v>
      </c>
      <c r="D70">
        <v>1</v>
      </c>
      <c r="E70">
        <v>6</v>
      </c>
      <c r="F70">
        <v>0</v>
      </c>
      <c r="G70">
        <v>70</v>
      </c>
      <c r="H70">
        <v>69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 t="s">
        <v>24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</row>
    <row r="71" spans="1:21" x14ac:dyDescent="0.25">
      <c r="A71">
        <v>70</v>
      </c>
      <c r="B71" t="s">
        <v>23</v>
      </c>
      <c r="D71">
        <v>1</v>
      </c>
      <c r="E71">
        <v>6</v>
      </c>
      <c r="F71">
        <v>0</v>
      </c>
      <c r="G71">
        <v>71</v>
      </c>
      <c r="H71">
        <v>70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 t="s">
        <v>24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</row>
    <row r="72" spans="1:21" x14ac:dyDescent="0.25">
      <c r="A72">
        <v>71</v>
      </c>
      <c r="B72" t="s">
        <v>23</v>
      </c>
      <c r="D72">
        <v>1</v>
      </c>
      <c r="E72">
        <v>6</v>
      </c>
      <c r="F72">
        <v>0</v>
      </c>
      <c r="G72">
        <v>72</v>
      </c>
      <c r="H72">
        <v>71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 t="s">
        <v>24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</row>
    <row r="73" spans="1:21" x14ac:dyDescent="0.25">
      <c r="A73">
        <v>72</v>
      </c>
      <c r="B73" t="s">
        <v>23</v>
      </c>
      <c r="D73">
        <v>1</v>
      </c>
      <c r="E73">
        <v>6</v>
      </c>
      <c r="F73">
        <v>0</v>
      </c>
      <c r="G73">
        <v>73</v>
      </c>
      <c r="H73">
        <v>72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 t="s">
        <v>24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</row>
    <row r="74" spans="1:21" x14ac:dyDescent="0.25">
      <c r="A74">
        <v>73</v>
      </c>
      <c r="B74" t="s">
        <v>23</v>
      </c>
      <c r="D74">
        <v>1</v>
      </c>
      <c r="E74">
        <v>6</v>
      </c>
      <c r="F74">
        <v>0</v>
      </c>
      <c r="G74">
        <v>74</v>
      </c>
      <c r="H74">
        <v>73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 t="s">
        <v>24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</row>
    <row r="75" spans="1:21" x14ac:dyDescent="0.25">
      <c r="A75">
        <v>74</v>
      </c>
      <c r="B75" t="s">
        <v>23</v>
      </c>
      <c r="D75">
        <v>1</v>
      </c>
      <c r="E75">
        <v>7</v>
      </c>
      <c r="F75">
        <v>0</v>
      </c>
      <c r="G75">
        <v>75</v>
      </c>
      <c r="H75">
        <v>74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 t="s">
        <v>24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</row>
    <row r="76" spans="1:21" x14ac:dyDescent="0.25">
      <c r="A76">
        <v>75</v>
      </c>
      <c r="B76" t="s">
        <v>23</v>
      </c>
      <c r="D76">
        <v>1</v>
      </c>
      <c r="E76">
        <v>7</v>
      </c>
      <c r="F76">
        <v>0</v>
      </c>
      <c r="G76">
        <v>76</v>
      </c>
      <c r="H76">
        <v>75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 t="s">
        <v>24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</row>
    <row r="77" spans="1:21" x14ac:dyDescent="0.25">
      <c r="A77">
        <v>76</v>
      </c>
      <c r="B77" t="s">
        <v>23</v>
      </c>
      <c r="D77">
        <v>1</v>
      </c>
      <c r="E77">
        <v>7</v>
      </c>
      <c r="F77">
        <v>0</v>
      </c>
      <c r="G77">
        <v>77</v>
      </c>
      <c r="H77">
        <v>76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 t="s">
        <v>24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</row>
    <row r="78" spans="1:21" x14ac:dyDescent="0.25">
      <c r="A78">
        <v>77</v>
      </c>
      <c r="B78" t="s">
        <v>23</v>
      </c>
      <c r="D78">
        <v>1</v>
      </c>
      <c r="E78">
        <v>7</v>
      </c>
      <c r="F78">
        <v>0</v>
      </c>
      <c r="G78">
        <v>78</v>
      </c>
      <c r="H78">
        <v>77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 t="s">
        <v>24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</row>
    <row r="79" spans="1:21" x14ac:dyDescent="0.25">
      <c r="A79">
        <v>78</v>
      </c>
      <c r="B79" t="s">
        <v>23</v>
      </c>
      <c r="D79">
        <v>1</v>
      </c>
      <c r="E79">
        <v>7</v>
      </c>
      <c r="F79">
        <v>0</v>
      </c>
      <c r="G79">
        <v>79</v>
      </c>
      <c r="H79">
        <v>78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 t="s">
        <v>24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</row>
    <row r="80" spans="1:21" x14ac:dyDescent="0.25">
      <c r="A80">
        <v>79</v>
      </c>
      <c r="B80" t="s">
        <v>23</v>
      </c>
      <c r="D80">
        <v>1</v>
      </c>
      <c r="E80">
        <v>7</v>
      </c>
      <c r="F80">
        <v>0</v>
      </c>
      <c r="G80">
        <v>80</v>
      </c>
      <c r="H80">
        <v>79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 t="s">
        <v>24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</row>
    <row r="81" spans="1:21" x14ac:dyDescent="0.25">
      <c r="A81">
        <v>80</v>
      </c>
      <c r="B81" t="s">
        <v>23</v>
      </c>
      <c r="D81">
        <v>1</v>
      </c>
      <c r="E81">
        <v>7</v>
      </c>
      <c r="F81">
        <v>0</v>
      </c>
      <c r="G81">
        <v>81</v>
      </c>
      <c r="H81">
        <v>80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 t="s">
        <v>24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</row>
    <row r="82" spans="1:21" x14ac:dyDescent="0.25">
      <c r="A82">
        <v>81</v>
      </c>
      <c r="B82" t="s">
        <v>23</v>
      </c>
      <c r="D82">
        <v>1</v>
      </c>
      <c r="E82">
        <v>7</v>
      </c>
      <c r="F82">
        <v>0</v>
      </c>
      <c r="G82">
        <v>82</v>
      </c>
      <c r="H82">
        <v>81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 t="s">
        <v>24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</row>
    <row r="83" spans="1:21" x14ac:dyDescent="0.25">
      <c r="A83">
        <v>82</v>
      </c>
      <c r="B83" t="s">
        <v>23</v>
      </c>
      <c r="D83">
        <v>1</v>
      </c>
      <c r="E83">
        <v>7</v>
      </c>
      <c r="F83">
        <v>0</v>
      </c>
      <c r="G83">
        <v>83</v>
      </c>
      <c r="H83">
        <v>82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 t="s">
        <v>24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</row>
    <row r="84" spans="1:21" x14ac:dyDescent="0.25">
      <c r="A84">
        <v>83</v>
      </c>
      <c r="B84" t="s">
        <v>23</v>
      </c>
      <c r="D84">
        <v>1</v>
      </c>
      <c r="E84">
        <v>7</v>
      </c>
      <c r="F84">
        <v>0</v>
      </c>
      <c r="G84">
        <v>84</v>
      </c>
      <c r="H84">
        <v>83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 t="s">
        <v>24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</row>
    <row r="85" spans="1:21" x14ac:dyDescent="0.25">
      <c r="A85">
        <v>84</v>
      </c>
      <c r="B85" t="s">
        <v>23</v>
      </c>
      <c r="D85">
        <v>1</v>
      </c>
      <c r="E85">
        <v>7</v>
      </c>
      <c r="F85">
        <v>0</v>
      </c>
      <c r="G85">
        <v>85</v>
      </c>
      <c r="H85">
        <v>84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 t="s">
        <v>24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</row>
    <row r="86" spans="1:21" x14ac:dyDescent="0.25">
      <c r="A86">
        <v>85</v>
      </c>
      <c r="B86" t="s">
        <v>23</v>
      </c>
      <c r="D86">
        <v>1</v>
      </c>
      <c r="E86">
        <v>7</v>
      </c>
      <c r="F86">
        <v>0</v>
      </c>
      <c r="G86">
        <v>86</v>
      </c>
      <c r="H86">
        <v>85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 t="s">
        <v>24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</row>
    <row r="87" spans="1:21" x14ac:dyDescent="0.25">
      <c r="A87">
        <v>86</v>
      </c>
      <c r="B87" t="s">
        <v>23</v>
      </c>
      <c r="D87">
        <v>1</v>
      </c>
      <c r="E87">
        <v>7</v>
      </c>
      <c r="F87">
        <v>0</v>
      </c>
      <c r="G87">
        <v>87</v>
      </c>
      <c r="H87">
        <v>86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 t="s">
        <v>24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</row>
    <row r="88" spans="1:21" x14ac:dyDescent="0.25">
      <c r="A88">
        <v>87</v>
      </c>
      <c r="B88" t="s">
        <v>23</v>
      </c>
      <c r="D88">
        <v>1</v>
      </c>
      <c r="E88">
        <v>8</v>
      </c>
      <c r="F88">
        <v>0</v>
      </c>
      <c r="G88">
        <v>88</v>
      </c>
      <c r="H88">
        <v>87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 t="s">
        <v>24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</row>
    <row r="89" spans="1:21" x14ac:dyDescent="0.25">
      <c r="A89">
        <v>88</v>
      </c>
      <c r="B89" t="s">
        <v>23</v>
      </c>
      <c r="D89">
        <v>1</v>
      </c>
      <c r="E89">
        <v>8</v>
      </c>
      <c r="F89">
        <v>0</v>
      </c>
      <c r="G89">
        <v>89</v>
      </c>
      <c r="H89">
        <v>88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 t="s">
        <v>24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</row>
    <row r="90" spans="1:21" x14ac:dyDescent="0.25">
      <c r="A90">
        <v>89</v>
      </c>
      <c r="B90" t="s">
        <v>23</v>
      </c>
      <c r="D90">
        <v>1</v>
      </c>
      <c r="E90">
        <v>8</v>
      </c>
      <c r="F90">
        <v>0</v>
      </c>
      <c r="G90">
        <v>90</v>
      </c>
      <c r="H90">
        <v>89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 t="s">
        <v>24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</row>
    <row r="91" spans="1:21" x14ac:dyDescent="0.25">
      <c r="A91">
        <v>90</v>
      </c>
      <c r="B91" t="s">
        <v>23</v>
      </c>
      <c r="D91">
        <v>1</v>
      </c>
      <c r="E91">
        <v>8</v>
      </c>
      <c r="F91">
        <v>0</v>
      </c>
      <c r="G91">
        <v>91</v>
      </c>
      <c r="H91">
        <v>90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 t="s">
        <v>24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</row>
    <row r="92" spans="1:21" x14ac:dyDescent="0.25">
      <c r="A92">
        <v>91</v>
      </c>
      <c r="B92" t="s">
        <v>23</v>
      </c>
      <c r="D92">
        <v>1</v>
      </c>
      <c r="E92">
        <v>8</v>
      </c>
      <c r="F92">
        <v>0</v>
      </c>
      <c r="G92">
        <v>92</v>
      </c>
      <c r="H92">
        <v>91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 t="s">
        <v>24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</row>
    <row r="93" spans="1:21" x14ac:dyDescent="0.25">
      <c r="A93">
        <v>92</v>
      </c>
      <c r="B93" t="s">
        <v>23</v>
      </c>
      <c r="D93">
        <v>1</v>
      </c>
      <c r="E93">
        <v>8</v>
      </c>
      <c r="F93">
        <v>0</v>
      </c>
      <c r="G93">
        <v>93</v>
      </c>
      <c r="H93">
        <v>92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 t="s">
        <v>24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</row>
    <row r="94" spans="1:21" x14ac:dyDescent="0.25">
      <c r="A94">
        <v>93</v>
      </c>
      <c r="B94" t="s">
        <v>23</v>
      </c>
      <c r="D94">
        <v>1</v>
      </c>
      <c r="E94">
        <v>8</v>
      </c>
      <c r="F94">
        <v>0</v>
      </c>
      <c r="G94">
        <v>94</v>
      </c>
      <c r="H94">
        <v>93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 t="s">
        <v>24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</row>
    <row r="95" spans="1:21" x14ac:dyDescent="0.25">
      <c r="A95">
        <v>94</v>
      </c>
      <c r="B95" t="s">
        <v>23</v>
      </c>
      <c r="D95">
        <v>1</v>
      </c>
      <c r="E95">
        <v>8</v>
      </c>
      <c r="F95">
        <v>0</v>
      </c>
      <c r="G95">
        <v>95</v>
      </c>
      <c r="H95">
        <v>94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 t="s">
        <v>24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</row>
    <row r="96" spans="1:21" x14ac:dyDescent="0.25">
      <c r="A96">
        <v>95</v>
      </c>
      <c r="B96" t="s">
        <v>23</v>
      </c>
      <c r="D96">
        <v>1</v>
      </c>
      <c r="E96">
        <v>8</v>
      </c>
      <c r="F96">
        <v>0</v>
      </c>
      <c r="G96">
        <v>96</v>
      </c>
      <c r="H96">
        <v>95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 t="s">
        <v>24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</row>
    <row r="97" spans="1:21" x14ac:dyDescent="0.25">
      <c r="A97">
        <v>96</v>
      </c>
      <c r="B97" t="s">
        <v>23</v>
      </c>
      <c r="D97">
        <v>1</v>
      </c>
      <c r="E97">
        <v>8</v>
      </c>
      <c r="F97">
        <v>0</v>
      </c>
      <c r="G97">
        <v>97</v>
      </c>
      <c r="H97">
        <v>96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 t="s">
        <v>24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</row>
    <row r="98" spans="1:21" x14ac:dyDescent="0.25">
      <c r="A98">
        <v>97</v>
      </c>
      <c r="B98" t="s">
        <v>23</v>
      </c>
      <c r="D98">
        <v>1</v>
      </c>
      <c r="E98">
        <v>8</v>
      </c>
      <c r="F98">
        <v>0</v>
      </c>
      <c r="G98">
        <v>98</v>
      </c>
      <c r="H98">
        <v>97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 t="s">
        <v>24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</row>
    <row r="99" spans="1:21" x14ac:dyDescent="0.25">
      <c r="A99">
        <v>98</v>
      </c>
      <c r="B99" t="s">
        <v>23</v>
      </c>
      <c r="D99">
        <v>1</v>
      </c>
      <c r="E99">
        <v>8</v>
      </c>
      <c r="F99">
        <v>0</v>
      </c>
      <c r="G99">
        <v>99</v>
      </c>
      <c r="H99">
        <v>98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 t="s">
        <v>24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</row>
    <row r="100" spans="1:21" x14ac:dyDescent="0.25">
      <c r="A100">
        <v>99</v>
      </c>
      <c r="B100" t="s">
        <v>23</v>
      </c>
      <c r="D100">
        <v>1</v>
      </c>
      <c r="E100">
        <v>8</v>
      </c>
      <c r="F100">
        <v>0</v>
      </c>
      <c r="G100">
        <v>100</v>
      </c>
      <c r="H100">
        <v>99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 t="s">
        <v>24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</row>
    <row r="101" spans="1:21" x14ac:dyDescent="0.25">
      <c r="A101">
        <v>100</v>
      </c>
      <c r="B101" t="s">
        <v>23</v>
      </c>
      <c r="D101">
        <v>1</v>
      </c>
      <c r="E101">
        <v>13</v>
      </c>
      <c r="F101">
        <v>0</v>
      </c>
      <c r="G101">
        <v>101</v>
      </c>
      <c r="H101">
        <v>100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 t="s">
        <v>24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</row>
    <row r="102" spans="1:21" x14ac:dyDescent="0.25">
      <c r="A102">
        <v>101</v>
      </c>
      <c r="B102" t="s">
        <v>23</v>
      </c>
      <c r="D102">
        <v>1</v>
      </c>
      <c r="E102">
        <v>13</v>
      </c>
      <c r="F102">
        <v>0</v>
      </c>
      <c r="G102">
        <v>102</v>
      </c>
      <c r="H102">
        <v>101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 t="s">
        <v>24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</row>
    <row r="103" spans="1:21" x14ac:dyDescent="0.25">
      <c r="A103">
        <v>102</v>
      </c>
      <c r="B103" t="s">
        <v>23</v>
      </c>
      <c r="D103">
        <v>1</v>
      </c>
      <c r="E103">
        <v>13</v>
      </c>
      <c r="F103">
        <v>0</v>
      </c>
      <c r="G103">
        <v>103</v>
      </c>
      <c r="H103">
        <v>102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 t="s">
        <v>24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</row>
    <row r="104" spans="1:21" x14ac:dyDescent="0.25">
      <c r="A104">
        <v>103</v>
      </c>
      <c r="B104" t="s">
        <v>23</v>
      </c>
      <c r="D104">
        <v>1</v>
      </c>
      <c r="E104">
        <v>13</v>
      </c>
      <c r="F104">
        <v>0</v>
      </c>
      <c r="G104">
        <v>104</v>
      </c>
      <c r="H104">
        <v>103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 t="s">
        <v>24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</row>
    <row r="105" spans="1:21" x14ac:dyDescent="0.25">
      <c r="A105">
        <v>104</v>
      </c>
      <c r="B105" t="s">
        <v>23</v>
      </c>
      <c r="D105">
        <v>1</v>
      </c>
      <c r="E105">
        <v>13</v>
      </c>
      <c r="F105">
        <v>0</v>
      </c>
      <c r="G105">
        <v>105</v>
      </c>
      <c r="H105">
        <v>104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 t="s">
        <v>24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</row>
    <row r="106" spans="1:21" x14ac:dyDescent="0.25">
      <c r="A106">
        <v>105</v>
      </c>
      <c r="B106" t="s">
        <v>23</v>
      </c>
      <c r="D106">
        <v>1</v>
      </c>
      <c r="E106">
        <v>13</v>
      </c>
      <c r="F106">
        <v>0</v>
      </c>
      <c r="G106">
        <v>106</v>
      </c>
      <c r="H106">
        <v>105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 t="s">
        <v>24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</row>
    <row r="107" spans="1:21" x14ac:dyDescent="0.25">
      <c r="A107">
        <v>106</v>
      </c>
      <c r="B107" t="s">
        <v>23</v>
      </c>
      <c r="D107">
        <v>1</v>
      </c>
      <c r="E107">
        <v>13</v>
      </c>
      <c r="F107">
        <v>0</v>
      </c>
      <c r="G107">
        <v>107</v>
      </c>
      <c r="H107">
        <v>106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 t="s">
        <v>24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</row>
    <row r="108" spans="1:21" x14ac:dyDescent="0.25">
      <c r="A108">
        <v>107</v>
      </c>
      <c r="B108" t="s">
        <v>23</v>
      </c>
      <c r="D108">
        <v>1</v>
      </c>
      <c r="E108">
        <v>13</v>
      </c>
      <c r="F108">
        <v>0</v>
      </c>
      <c r="G108">
        <v>108</v>
      </c>
      <c r="H108">
        <v>107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 t="s">
        <v>24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</row>
    <row r="109" spans="1:21" x14ac:dyDescent="0.25">
      <c r="A109">
        <v>108</v>
      </c>
      <c r="B109" t="s">
        <v>23</v>
      </c>
      <c r="D109">
        <v>1</v>
      </c>
      <c r="E109">
        <v>13</v>
      </c>
      <c r="F109">
        <v>0</v>
      </c>
      <c r="G109">
        <v>109</v>
      </c>
      <c r="H109">
        <v>108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 t="s">
        <v>24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</row>
    <row r="110" spans="1:21" x14ac:dyDescent="0.25">
      <c r="A110">
        <v>109</v>
      </c>
      <c r="B110" t="s">
        <v>23</v>
      </c>
      <c r="D110">
        <v>1</v>
      </c>
      <c r="E110">
        <v>13</v>
      </c>
      <c r="F110">
        <v>0</v>
      </c>
      <c r="G110">
        <v>110</v>
      </c>
      <c r="H110">
        <v>109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 t="s">
        <v>24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</row>
    <row r="111" spans="1:21" x14ac:dyDescent="0.25">
      <c r="A111">
        <v>110</v>
      </c>
      <c r="B111" t="s">
        <v>23</v>
      </c>
      <c r="D111">
        <v>1</v>
      </c>
      <c r="E111">
        <v>13</v>
      </c>
      <c r="F111">
        <v>0</v>
      </c>
      <c r="G111">
        <v>111</v>
      </c>
      <c r="H111">
        <v>110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 t="s">
        <v>24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</row>
    <row r="112" spans="1:21" x14ac:dyDescent="0.25">
      <c r="A112">
        <v>111</v>
      </c>
      <c r="B112" t="s">
        <v>23</v>
      </c>
      <c r="D112">
        <v>1</v>
      </c>
      <c r="E112">
        <v>13</v>
      </c>
      <c r="F112">
        <v>0</v>
      </c>
      <c r="G112">
        <v>112</v>
      </c>
      <c r="H112">
        <v>111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 t="s">
        <v>24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</row>
    <row r="113" spans="1:21" x14ac:dyDescent="0.25">
      <c r="A113">
        <v>112</v>
      </c>
      <c r="B113" t="s">
        <v>23</v>
      </c>
      <c r="D113">
        <v>1</v>
      </c>
      <c r="E113">
        <v>13</v>
      </c>
      <c r="F113">
        <v>0</v>
      </c>
      <c r="G113">
        <v>113</v>
      </c>
      <c r="H113">
        <v>112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 t="s">
        <v>24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</row>
    <row r="114" spans="1:21" x14ac:dyDescent="0.25">
      <c r="A114">
        <v>113</v>
      </c>
      <c r="B114" t="s">
        <v>23</v>
      </c>
      <c r="D114">
        <v>1</v>
      </c>
      <c r="E114">
        <v>14</v>
      </c>
      <c r="F114">
        <v>0</v>
      </c>
      <c r="G114">
        <v>114</v>
      </c>
      <c r="H114">
        <v>113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 t="s">
        <v>24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</row>
    <row r="115" spans="1:21" x14ac:dyDescent="0.25">
      <c r="A115">
        <v>114</v>
      </c>
      <c r="B115" t="s">
        <v>23</v>
      </c>
      <c r="D115">
        <v>1</v>
      </c>
      <c r="E115">
        <v>14</v>
      </c>
      <c r="F115">
        <v>0</v>
      </c>
      <c r="G115">
        <v>115</v>
      </c>
      <c r="H115">
        <v>114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 t="s">
        <v>24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</row>
    <row r="116" spans="1:21" x14ac:dyDescent="0.25">
      <c r="A116">
        <v>115</v>
      </c>
      <c r="B116" t="s">
        <v>23</v>
      </c>
      <c r="D116">
        <v>1</v>
      </c>
      <c r="E116">
        <v>14</v>
      </c>
      <c r="F116">
        <v>0</v>
      </c>
      <c r="G116">
        <v>116</v>
      </c>
      <c r="H116">
        <v>115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 t="s">
        <v>24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</row>
    <row r="117" spans="1:21" x14ac:dyDescent="0.25">
      <c r="A117">
        <v>116</v>
      </c>
      <c r="B117" t="s">
        <v>23</v>
      </c>
      <c r="D117">
        <v>1</v>
      </c>
      <c r="E117">
        <v>14</v>
      </c>
      <c r="F117">
        <v>0</v>
      </c>
      <c r="G117">
        <v>117</v>
      </c>
      <c r="H117">
        <v>116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 t="s">
        <v>24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</row>
    <row r="118" spans="1:21" x14ac:dyDescent="0.25">
      <c r="A118">
        <v>117</v>
      </c>
      <c r="B118" t="s">
        <v>23</v>
      </c>
      <c r="D118">
        <v>1</v>
      </c>
      <c r="E118">
        <v>14</v>
      </c>
      <c r="F118">
        <v>0</v>
      </c>
      <c r="G118">
        <v>118</v>
      </c>
      <c r="H118">
        <v>117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 t="s">
        <v>24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</row>
    <row r="119" spans="1:21" x14ac:dyDescent="0.25">
      <c r="A119">
        <v>118</v>
      </c>
      <c r="B119" t="s">
        <v>23</v>
      </c>
      <c r="D119">
        <v>1</v>
      </c>
      <c r="E119">
        <v>14</v>
      </c>
      <c r="F119">
        <v>0</v>
      </c>
      <c r="G119">
        <v>119</v>
      </c>
      <c r="H119">
        <v>118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 t="s">
        <v>24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</row>
    <row r="120" spans="1:21" x14ac:dyDescent="0.25">
      <c r="A120">
        <v>119</v>
      </c>
      <c r="B120" t="s">
        <v>23</v>
      </c>
      <c r="D120">
        <v>1</v>
      </c>
      <c r="E120">
        <v>14</v>
      </c>
      <c r="F120">
        <v>0</v>
      </c>
      <c r="G120">
        <v>120</v>
      </c>
      <c r="H120">
        <v>119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 t="s">
        <v>24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</row>
    <row r="121" spans="1:21" x14ac:dyDescent="0.25">
      <c r="A121">
        <v>120</v>
      </c>
      <c r="B121" t="s">
        <v>23</v>
      </c>
      <c r="D121">
        <v>1</v>
      </c>
      <c r="E121">
        <v>14</v>
      </c>
      <c r="F121">
        <v>0</v>
      </c>
      <c r="G121">
        <v>121</v>
      </c>
      <c r="H121">
        <v>120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 t="s">
        <v>24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</row>
    <row r="122" spans="1:21" x14ac:dyDescent="0.25">
      <c r="A122">
        <v>121</v>
      </c>
      <c r="B122" t="s">
        <v>23</v>
      </c>
      <c r="D122">
        <v>1</v>
      </c>
      <c r="E122">
        <v>14</v>
      </c>
      <c r="F122">
        <v>0</v>
      </c>
      <c r="G122">
        <v>122</v>
      </c>
      <c r="H122">
        <v>121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 t="s">
        <v>24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</row>
    <row r="123" spans="1:21" x14ac:dyDescent="0.25">
      <c r="A123">
        <v>122</v>
      </c>
      <c r="B123" t="s">
        <v>23</v>
      </c>
      <c r="D123">
        <v>1</v>
      </c>
      <c r="E123">
        <v>14</v>
      </c>
      <c r="F123">
        <v>0</v>
      </c>
      <c r="G123">
        <v>123</v>
      </c>
      <c r="H123">
        <v>122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 t="s">
        <v>24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</row>
    <row r="124" spans="1:21" x14ac:dyDescent="0.25">
      <c r="A124">
        <v>123</v>
      </c>
      <c r="B124" t="s">
        <v>23</v>
      </c>
      <c r="D124">
        <v>1</v>
      </c>
      <c r="E124">
        <v>14</v>
      </c>
      <c r="F124">
        <v>0</v>
      </c>
      <c r="G124">
        <v>124</v>
      </c>
      <c r="H124">
        <v>123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 t="s">
        <v>24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</row>
    <row r="125" spans="1:21" x14ac:dyDescent="0.25">
      <c r="A125">
        <v>124</v>
      </c>
      <c r="B125" t="s">
        <v>23</v>
      </c>
      <c r="D125">
        <v>1</v>
      </c>
      <c r="E125">
        <v>14</v>
      </c>
      <c r="F125">
        <v>0</v>
      </c>
      <c r="G125">
        <v>125</v>
      </c>
      <c r="H125">
        <v>124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 t="s">
        <v>24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</row>
    <row r="126" spans="1:21" x14ac:dyDescent="0.25">
      <c r="A126">
        <v>125</v>
      </c>
      <c r="B126" t="s">
        <v>23</v>
      </c>
      <c r="D126">
        <v>1</v>
      </c>
      <c r="E126">
        <v>14</v>
      </c>
      <c r="F126">
        <v>0</v>
      </c>
      <c r="G126">
        <v>126</v>
      </c>
      <c r="H126">
        <v>125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 t="s">
        <v>24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</row>
    <row r="127" spans="1:21" x14ac:dyDescent="0.25">
      <c r="A127">
        <v>126</v>
      </c>
      <c r="B127" t="s">
        <v>23</v>
      </c>
      <c r="D127">
        <v>1</v>
      </c>
      <c r="E127">
        <v>15</v>
      </c>
      <c r="F127">
        <v>0</v>
      </c>
      <c r="G127">
        <v>127</v>
      </c>
      <c r="H127">
        <v>126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 t="s">
        <v>24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</row>
    <row r="128" spans="1:21" x14ac:dyDescent="0.25">
      <c r="A128">
        <v>127</v>
      </c>
      <c r="B128" t="s">
        <v>23</v>
      </c>
      <c r="D128">
        <v>1</v>
      </c>
      <c r="E128">
        <v>15</v>
      </c>
      <c r="F128">
        <v>0</v>
      </c>
      <c r="G128">
        <v>128</v>
      </c>
      <c r="H128">
        <v>127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 t="s">
        <v>24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</row>
    <row r="129" spans="1:21" x14ac:dyDescent="0.25">
      <c r="A129">
        <v>128</v>
      </c>
      <c r="B129" t="s">
        <v>23</v>
      </c>
      <c r="D129">
        <v>1</v>
      </c>
      <c r="E129">
        <v>15</v>
      </c>
      <c r="F129">
        <v>0</v>
      </c>
      <c r="G129">
        <v>129</v>
      </c>
      <c r="H129">
        <v>128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 t="s">
        <v>24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</row>
    <row r="130" spans="1:21" x14ac:dyDescent="0.25">
      <c r="A130">
        <v>129</v>
      </c>
      <c r="B130" t="s">
        <v>23</v>
      </c>
      <c r="D130">
        <v>1</v>
      </c>
      <c r="E130">
        <v>15</v>
      </c>
      <c r="F130">
        <v>0</v>
      </c>
      <c r="G130">
        <v>130</v>
      </c>
      <c r="H130">
        <v>129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 t="s">
        <v>24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</row>
    <row r="131" spans="1:21" x14ac:dyDescent="0.25">
      <c r="A131">
        <v>130</v>
      </c>
      <c r="B131" t="s">
        <v>23</v>
      </c>
      <c r="D131">
        <v>1</v>
      </c>
      <c r="E131">
        <v>15</v>
      </c>
      <c r="F131">
        <v>0</v>
      </c>
      <c r="G131">
        <v>131</v>
      </c>
      <c r="H131">
        <v>130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 t="s">
        <v>24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</row>
    <row r="132" spans="1:21" x14ac:dyDescent="0.25">
      <c r="A132">
        <v>131</v>
      </c>
      <c r="B132" t="s">
        <v>23</v>
      </c>
      <c r="D132">
        <v>1</v>
      </c>
      <c r="E132">
        <v>15</v>
      </c>
      <c r="F132">
        <v>0</v>
      </c>
      <c r="G132">
        <v>132</v>
      </c>
      <c r="H132">
        <v>131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 t="s">
        <v>24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</row>
    <row r="133" spans="1:21" x14ac:dyDescent="0.25">
      <c r="A133">
        <v>132</v>
      </c>
      <c r="B133" t="s">
        <v>23</v>
      </c>
      <c r="D133">
        <v>1</v>
      </c>
      <c r="E133">
        <v>15</v>
      </c>
      <c r="F133">
        <v>0</v>
      </c>
      <c r="G133">
        <v>133</v>
      </c>
      <c r="H133">
        <v>132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 t="s">
        <v>24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</row>
    <row r="134" spans="1:21" x14ac:dyDescent="0.25">
      <c r="A134">
        <v>133</v>
      </c>
      <c r="B134" t="s">
        <v>23</v>
      </c>
      <c r="D134">
        <v>1</v>
      </c>
      <c r="E134">
        <v>15</v>
      </c>
      <c r="F134">
        <v>0</v>
      </c>
      <c r="G134">
        <v>134</v>
      </c>
      <c r="H134">
        <v>133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 t="s">
        <v>24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</row>
    <row r="135" spans="1:21" x14ac:dyDescent="0.25">
      <c r="A135">
        <v>134</v>
      </c>
      <c r="B135" t="s">
        <v>23</v>
      </c>
      <c r="D135">
        <v>1</v>
      </c>
      <c r="E135">
        <v>15</v>
      </c>
      <c r="F135">
        <v>0</v>
      </c>
      <c r="G135">
        <v>135</v>
      </c>
      <c r="H135">
        <v>134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 t="s">
        <v>24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</row>
    <row r="136" spans="1:21" x14ac:dyDescent="0.25">
      <c r="A136">
        <v>135</v>
      </c>
      <c r="B136" t="s">
        <v>23</v>
      </c>
      <c r="D136">
        <v>1</v>
      </c>
      <c r="E136">
        <v>15</v>
      </c>
      <c r="F136">
        <v>0</v>
      </c>
      <c r="G136">
        <v>136</v>
      </c>
      <c r="H136">
        <v>135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 t="s">
        <v>24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</row>
    <row r="137" spans="1:21" x14ac:dyDescent="0.25">
      <c r="A137">
        <v>136</v>
      </c>
      <c r="B137" t="s">
        <v>23</v>
      </c>
      <c r="D137">
        <v>1</v>
      </c>
      <c r="E137">
        <v>15</v>
      </c>
      <c r="F137">
        <v>0</v>
      </c>
      <c r="G137">
        <v>137</v>
      </c>
      <c r="H137">
        <v>136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 t="s">
        <v>24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</row>
    <row r="138" spans="1:21" x14ac:dyDescent="0.25">
      <c r="A138">
        <v>137</v>
      </c>
      <c r="B138" t="s">
        <v>23</v>
      </c>
      <c r="D138">
        <v>1</v>
      </c>
      <c r="E138">
        <v>15</v>
      </c>
      <c r="F138">
        <v>0</v>
      </c>
      <c r="G138">
        <v>138</v>
      </c>
      <c r="H138">
        <v>137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 t="s">
        <v>24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</row>
    <row r="139" spans="1:21" x14ac:dyDescent="0.25">
      <c r="A139">
        <v>138</v>
      </c>
      <c r="B139" t="s">
        <v>23</v>
      </c>
      <c r="D139">
        <v>1</v>
      </c>
      <c r="E139">
        <v>15</v>
      </c>
      <c r="F139">
        <v>0</v>
      </c>
      <c r="G139">
        <v>139</v>
      </c>
      <c r="H139">
        <v>138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 t="s">
        <v>24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</row>
    <row r="140" spans="1:21" x14ac:dyDescent="0.25">
      <c r="A140">
        <v>139</v>
      </c>
      <c r="B140" t="s">
        <v>23</v>
      </c>
      <c r="D140">
        <v>1</v>
      </c>
      <c r="E140">
        <v>12</v>
      </c>
      <c r="F140">
        <v>0</v>
      </c>
      <c r="G140">
        <v>140</v>
      </c>
      <c r="H140">
        <v>139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 t="s">
        <v>24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</row>
    <row r="141" spans="1:21" x14ac:dyDescent="0.25">
      <c r="A141">
        <v>140</v>
      </c>
      <c r="B141" t="s">
        <v>23</v>
      </c>
      <c r="D141">
        <v>1</v>
      </c>
      <c r="E141">
        <v>12</v>
      </c>
      <c r="F141">
        <v>0</v>
      </c>
      <c r="G141">
        <v>141</v>
      </c>
      <c r="H141">
        <v>140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 t="s">
        <v>24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</row>
    <row r="142" spans="1:21" x14ac:dyDescent="0.25">
      <c r="A142">
        <v>141</v>
      </c>
      <c r="B142" t="s">
        <v>23</v>
      </c>
      <c r="D142">
        <v>1</v>
      </c>
      <c r="E142">
        <v>12</v>
      </c>
      <c r="F142">
        <v>0</v>
      </c>
      <c r="G142">
        <v>142</v>
      </c>
      <c r="H142">
        <v>141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 t="s">
        <v>24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</row>
    <row r="143" spans="1:21" x14ac:dyDescent="0.25">
      <c r="A143">
        <v>142</v>
      </c>
      <c r="B143" t="s">
        <v>23</v>
      </c>
      <c r="D143">
        <v>1</v>
      </c>
      <c r="E143">
        <v>12</v>
      </c>
      <c r="F143">
        <v>0</v>
      </c>
      <c r="G143">
        <v>143</v>
      </c>
      <c r="H143">
        <v>142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 t="s">
        <v>24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</row>
    <row r="144" spans="1:21" x14ac:dyDescent="0.25">
      <c r="A144">
        <v>143</v>
      </c>
      <c r="B144" t="s">
        <v>23</v>
      </c>
      <c r="D144">
        <v>1</v>
      </c>
      <c r="E144">
        <v>12</v>
      </c>
      <c r="F144">
        <v>0</v>
      </c>
      <c r="G144">
        <v>144</v>
      </c>
      <c r="H144">
        <v>143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 t="s">
        <v>24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</row>
    <row r="145" spans="1:21" x14ac:dyDescent="0.25">
      <c r="A145">
        <v>144</v>
      </c>
      <c r="B145" t="s">
        <v>23</v>
      </c>
      <c r="D145">
        <v>1</v>
      </c>
      <c r="E145">
        <v>12</v>
      </c>
      <c r="F145">
        <v>0</v>
      </c>
      <c r="G145">
        <v>145</v>
      </c>
      <c r="H145">
        <v>144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 t="s">
        <v>24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</row>
    <row r="146" spans="1:21" x14ac:dyDescent="0.25">
      <c r="A146">
        <v>145</v>
      </c>
      <c r="B146" t="s">
        <v>23</v>
      </c>
      <c r="D146">
        <v>1</v>
      </c>
      <c r="E146">
        <v>12</v>
      </c>
      <c r="F146">
        <v>0</v>
      </c>
      <c r="G146">
        <v>146</v>
      </c>
      <c r="H146">
        <v>145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 t="s">
        <v>24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</row>
    <row r="147" spans="1:21" x14ac:dyDescent="0.25">
      <c r="A147">
        <v>146</v>
      </c>
      <c r="B147" t="s">
        <v>23</v>
      </c>
      <c r="D147">
        <v>1</v>
      </c>
      <c r="E147">
        <v>12</v>
      </c>
      <c r="F147">
        <v>0</v>
      </c>
      <c r="G147">
        <v>147</v>
      </c>
      <c r="H147">
        <v>146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 t="s">
        <v>24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</row>
    <row r="148" spans="1:21" x14ac:dyDescent="0.25">
      <c r="A148">
        <v>147</v>
      </c>
      <c r="B148" t="s">
        <v>23</v>
      </c>
      <c r="D148">
        <v>1</v>
      </c>
      <c r="E148">
        <v>12</v>
      </c>
      <c r="F148">
        <v>0</v>
      </c>
      <c r="G148">
        <v>148</v>
      </c>
      <c r="H148">
        <v>147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 t="s">
        <v>24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</row>
    <row r="149" spans="1:21" x14ac:dyDescent="0.25">
      <c r="A149">
        <v>148</v>
      </c>
      <c r="B149" t="s">
        <v>23</v>
      </c>
      <c r="D149">
        <v>1</v>
      </c>
      <c r="E149">
        <v>12</v>
      </c>
      <c r="F149">
        <v>0</v>
      </c>
      <c r="G149">
        <v>149</v>
      </c>
      <c r="H149">
        <v>148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 t="s">
        <v>24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</row>
    <row r="150" spans="1:21" x14ac:dyDescent="0.25">
      <c r="A150">
        <v>149</v>
      </c>
      <c r="B150" t="s">
        <v>23</v>
      </c>
      <c r="D150">
        <v>1</v>
      </c>
      <c r="E150">
        <v>12</v>
      </c>
      <c r="F150">
        <v>0</v>
      </c>
      <c r="G150">
        <v>150</v>
      </c>
      <c r="H150">
        <v>149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 t="s">
        <v>24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</row>
    <row r="151" spans="1:21" x14ac:dyDescent="0.25">
      <c r="A151">
        <v>150</v>
      </c>
      <c r="B151" t="s">
        <v>23</v>
      </c>
      <c r="D151">
        <v>1</v>
      </c>
      <c r="E151">
        <v>12</v>
      </c>
      <c r="F151">
        <v>0</v>
      </c>
      <c r="G151">
        <v>151</v>
      </c>
      <c r="H151">
        <v>150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 t="s">
        <v>24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</row>
    <row r="152" spans="1:21" x14ac:dyDescent="0.25">
      <c r="A152">
        <v>151</v>
      </c>
      <c r="B152" t="s">
        <v>23</v>
      </c>
      <c r="D152">
        <v>1</v>
      </c>
      <c r="E152">
        <v>12</v>
      </c>
      <c r="F152">
        <v>0</v>
      </c>
      <c r="G152">
        <v>152</v>
      </c>
      <c r="H152">
        <v>151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 t="s">
        <v>24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</row>
    <row r="153" spans="1:21" x14ac:dyDescent="0.25">
      <c r="A153">
        <v>152</v>
      </c>
      <c r="B153" t="s">
        <v>23</v>
      </c>
      <c r="D153">
        <v>1</v>
      </c>
      <c r="E153">
        <v>12</v>
      </c>
      <c r="F153">
        <v>0</v>
      </c>
      <c r="G153">
        <v>153</v>
      </c>
      <c r="H153">
        <v>152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 t="s">
        <v>24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</row>
    <row r="154" spans="1:21" x14ac:dyDescent="0.25">
      <c r="A154">
        <v>153</v>
      </c>
      <c r="B154" t="s">
        <v>23</v>
      </c>
      <c r="D154">
        <v>1</v>
      </c>
      <c r="E154">
        <v>12</v>
      </c>
      <c r="F154">
        <v>0</v>
      </c>
      <c r="G154">
        <v>154</v>
      </c>
      <c r="H154">
        <v>153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 t="s">
        <v>24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</row>
    <row r="155" spans="1:21" x14ac:dyDescent="0.25">
      <c r="A155">
        <v>154</v>
      </c>
      <c r="B155" t="s">
        <v>23</v>
      </c>
      <c r="D155">
        <v>1</v>
      </c>
      <c r="E155">
        <v>12</v>
      </c>
      <c r="F155">
        <v>0</v>
      </c>
      <c r="G155">
        <v>155</v>
      </c>
      <c r="H155">
        <v>154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 t="s">
        <v>24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</row>
    <row r="156" spans="1:21" x14ac:dyDescent="0.25">
      <c r="A156">
        <v>155</v>
      </c>
      <c r="B156" t="s">
        <v>23</v>
      </c>
      <c r="D156">
        <v>1</v>
      </c>
      <c r="E156">
        <v>12</v>
      </c>
      <c r="F156">
        <v>0</v>
      </c>
      <c r="G156">
        <v>156</v>
      </c>
      <c r="H156">
        <v>155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 t="s">
        <v>24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</row>
    <row r="157" spans="1:21" x14ac:dyDescent="0.25">
      <c r="A157">
        <v>156</v>
      </c>
      <c r="B157" t="s">
        <v>23</v>
      </c>
      <c r="D157">
        <v>1</v>
      </c>
      <c r="E157">
        <v>12</v>
      </c>
      <c r="F157">
        <v>0</v>
      </c>
      <c r="G157">
        <v>157</v>
      </c>
      <c r="H157">
        <v>156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 t="s">
        <v>24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</row>
    <row r="158" spans="1:21" x14ac:dyDescent="0.25">
      <c r="A158">
        <v>157</v>
      </c>
      <c r="B158" t="s">
        <v>23</v>
      </c>
      <c r="D158">
        <v>1</v>
      </c>
      <c r="E158">
        <v>12</v>
      </c>
      <c r="F158">
        <v>0</v>
      </c>
      <c r="G158">
        <v>158</v>
      </c>
      <c r="H158">
        <v>157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 t="s">
        <v>24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</row>
    <row r="159" spans="1:21" x14ac:dyDescent="0.25">
      <c r="A159">
        <v>158</v>
      </c>
      <c r="B159" t="s">
        <v>23</v>
      </c>
      <c r="D159">
        <v>1</v>
      </c>
      <c r="E159">
        <v>12</v>
      </c>
      <c r="F159">
        <v>0</v>
      </c>
      <c r="G159">
        <v>159</v>
      </c>
      <c r="H159">
        <v>158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 t="s">
        <v>24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</row>
    <row r="160" spans="1:21" x14ac:dyDescent="0.25">
      <c r="A160">
        <v>159</v>
      </c>
      <c r="B160" t="s">
        <v>23</v>
      </c>
      <c r="D160">
        <v>1</v>
      </c>
      <c r="E160">
        <v>12</v>
      </c>
      <c r="F160">
        <v>0</v>
      </c>
      <c r="G160">
        <v>160</v>
      </c>
      <c r="H160">
        <v>159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 t="s">
        <v>24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</row>
    <row r="161" spans="1:21" x14ac:dyDescent="0.25">
      <c r="A161">
        <v>160</v>
      </c>
      <c r="B161" t="s">
        <v>23</v>
      </c>
      <c r="D161">
        <v>1</v>
      </c>
      <c r="E161">
        <v>12</v>
      </c>
      <c r="F161">
        <v>0</v>
      </c>
      <c r="G161">
        <v>161</v>
      </c>
      <c r="H161">
        <v>160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 t="s">
        <v>24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</row>
    <row r="162" spans="1:21" x14ac:dyDescent="0.25">
      <c r="A162">
        <v>161</v>
      </c>
      <c r="B162" t="s">
        <v>23</v>
      </c>
      <c r="D162">
        <v>1</v>
      </c>
      <c r="E162">
        <v>12</v>
      </c>
      <c r="F162">
        <v>0</v>
      </c>
      <c r="G162">
        <v>162</v>
      </c>
      <c r="H162">
        <v>161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 t="s">
        <v>24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</row>
    <row r="163" spans="1:21" x14ac:dyDescent="0.25">
      <c r="A163">
        <v>162</v>
      </c>
      <c r="B163" t="s">
        <v>23</v>
      </c>
      <c r="D163">
        <v>1</v>
      </c>
      <c r="E163">
        <v>12</v>
      </c>
      <c r="F163">
        <v>0</v>
      </c>
      <c r="G163">
        <v>163</v>
      </c>
      <c r="H163">
        <v>162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 t="s">
        <v>24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</row>
    <row r="164" spans="1:21" x14ac:dyDescent="0.25">
      <c r="A164">
        <v>163</v>
      </c>
      <c r="B164" t="s">
        <v>23</v>
      </c>
      <c r="D164">
        <v>1</v>
      </c>
      <c r="E164">
        <v>12</v>
      </c>
      <c r="F164">
        <v>0</v>
      </c>
      <c r="G164">
        <v>164</v>
      </c>
      <c r="H164">
        <v>163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 t="s">
        <v>24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</row>
    <row r="165" spans="1:21" x14ac:dyDescent="0.25">
      <c r="A165">
        <v>164</v>
      </c>
      <c r="B165" t="s">
        <v>23</v>
      </c>
      <c r="D165">
        <v>1</v>
      </c>
      <c r="E165">
        <v>12</v>
      </c>
      <c r="F165">
        <v>0</v>
      </c>
      <c r="G165">
        <v>165</v>
      </c>
      <c r="H165">
        <v>164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 t="s">
        <v>24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</row>
    <row r="166" spans="1:21" x14ac:dyDescent="0.25">
      <c r="A166">
        <v>165</v>
      </c>
      <c r="B166" t="s">
        <v>23</v>
      </c>
      <c r="D166">
        <v>1</v>
      </c>
      <c r="E166">
        <v>11</v>
      </c>
      <c r="F166">
        <v>0</v>
      </c>
      <c r="G166">
        <v>166</v>
      </c>
      <c r="H166">
        <v>165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 t="s">
        <v>24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</row>
    <row r="167" spans="1:21" x14ac:dyDescent="0.25">
      <c r="A167">
        <v>166</v>
      </c>
      <c r="B167" t="s">
        <v>23</v>
      </c>
      <c r="D167">
        <v>1</v>
      </c>
      <c r="E167">
        <v>11</v>
      </c>
      <c r="F167">
        <v>0</v>
      </c>
      <c r="G167">
        <v>167</v>
      </c>
      <c r="H167">
        <v>166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 t="s">
        <v>24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</row>
    <row r="168" spans="1:21" x14ac:dyDescent="0.25">
      <c r="A168">
        <v>167</v>
      </c>
      <c r="B168" t="s">
        <v>23</v>
      </c>
      <c r="D168">
        <v>1</v>
      </c>
      <c r="E168">
        <v>11</v>
      </c>
      <c r="F168">
        <v>0</v>
      </c>
      <c r="G168">
        <v>168</v>
      </c>
      <c r="H168">
        <v>167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 t="s">
        <v>24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</row>
    <row r="169" spans="1:21" x14ac:dyDescent="0.25">
      <c r="A169">
        <v>168</v>
      </c>
      <c r="B169" t="s">
        <v>23</v>
      </c>
      <c r="D169">
        <v>1</v>
      </c>
      <c r="E169">
        <v>11</v>
      </c>
      <c r="F169">
        <v>0</v>
      </c>
      <c r="G169">
        <v>169</v>
      </c>
      <c r="H169">
        <v>168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 t="s">
        <v>24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</row>
    <row r="170" spans="1:21" x14ac:dyDescent="0.25">
      <c r="A170">
        <v>169</v>
      </c>
      <c r="B170" t="s">
        <v>23</v>
      </c>
      <c r="D170">
        <v>1</v>
      </c>
      <c r="E170">
        <v>11</v>
      </c>
      <c r="F170">
        <v>0</v>
      </c>
      <c r="G170">
        <v>170</v>
      </c>
      <c r="H170">
        <v>169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 t="s">
        <v>24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</row>
    <row r="171" spans="1:21" x14ac:dyDescent="0.25">
      <c r="A171">
        <v>170</v>
      </c>
      <c r="B171" t="s">
        <v>23</v>
      </c>
      <c r="D171">
        <v>1</v>
      </c>
      <c r="E171">
        <v>11</v>
      </c>
      <c r="F171">
        <v>0</v>
      </c>
      <c r="G171">
        <v>171</v>
      </c>
      <c r="H171">
        <v>170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 t="s">
        <v>24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</row>
    <row r="172" spans="1:21" x14ac:dyDescent="0.25">
      <c r="A172">
        <v>171</v>
      </c>
      <c r="B172" t="s">
        <v>23</v>
      </c>
      <c r="D172">
        <v>1</v>
      </c>
      <c r="E172">
        <v>11</v>
      </c>
      <c r="F172">
        <v>0</v>
      </c>
      <c r="G172">
        <v>172</v>
      </c>
      <c r="H172">
        <v>171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 t="s">
        <v>24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</row>
    <row r="173" spans="1:21" x14ac:dyDescent="0.25">
      <c r="A173">
        <v>172</v>
      </c>
      <c r="B173" t="s">
        <v>23</v>
      </c>
      <c r="D173">
        <v>1</v>
      </c>
      <c r="E173">
        <v>11</v>
      </c>
      <c r="F173">
        <v>0</v>
      </c>
      <c r="G173">
        <v>173</v>
      </c>
      <c r="H173">
        <v>172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 t="s">
        <v>24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</row>
    <row r="174" spans="1:21" x14ac:dyDescent="0.25">
      <c r="A174">
        <v>173</v>
      </c>
      <c r="B174" t="s">
        <v>23</v>
      </c>
      <c r="D174">
        <v>1</v>
      </c>
      <c r="E174">
        <v>11</v>
      </c>
      <c r="F174">
        <v>0</v>
      </c>
      <c r="G174">
        <v>174</v>
      </c>
      <c r="H174">
        <v>173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 t="s">
        <v>24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</row>
    <row r="175" spans="1:21" x14ac:dyDescent="0.25">
      <c r="A175">
        <v>174</v>
      </c>
      <c r="B175" t="s">
        <v>23</v>
      </c>
      <c r="D175">
        <v>1</v>
      </c>
      <c r="E175">
        <v>11</v>
      </c>
      <c r="F175">
        <v>0</v>
      </c>
      <c r="G175">
        <v>175</v>
      </c>
      <c r="H175">
        <v>174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 t="s">
        <v>24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</row>
    <row r="176" spans="1:21" x14ac:dyDescent="0.25">
      <c r="A176">
        <v>175</v>
      </c>
      <c r="B176" t="s">
        <v>23</v>
      </c>
      <c r="D176">
        <v>1</v>
      </c>
      <c r="E176">
        <v>11</v>
      </c>
      <c r="F176">
        <v>0</v>
      </c>
      <c r="G176">
        <v>176</v>
      </c>
      <c r="H176">
        <v>175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 t="s">
        <v>24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</row>
    <row r="177" spans="1:21" x14ac:dyDescent="0.25">
      <c r="A177">
        <v>176</v>
      </c>
      <c r="B177" t="s">
        <v>23</v>
      </c>
      <c r="D177">
        <v>1</v>
      </c>
      <c r="E177">
        <v>11</v>
      </c>
      <c r="F177">
        <v>0</v>
      </c>
      <c r="G177">
        <v>177</v>
      </c>
      <c r="H177">
        <v>176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 t="s">
        <v>24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</row>
    <row r="178" spans="1:21" x14ac:dyDescent="0.25">
      <c r="A178">
        <v>177</v>
      </c>
      <c r="B178" t="s">
        <v>23</v>
      </c>
      <c r="D178">
        <v>1</v>
      </c>
      <c r="E178">
        <v>11</v>
      </c>
      <c r="F178">
        <v>0</v>
      </c>
      <c r="G178">
        <v>178</v>
      </c>
      <c r="H178">
        <v>177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 t="s">
        <v>24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</row>
    <row r="179" spans="1:21" x14ac:dyDescent="0.25">
      <c r="A179">
        <v>178</v>
      </c>
      <c r="B179" t="s">
        <v>23</v>
      </c>
      <c r="D179">
        <v>1</v>
      </c>
      <c r="E179">
        <v>10</v>
      </c>
      <c r="F179">
        <v>0</v>
      </c>
      <c r="G179">
        <v>179</v>
      </c>
      <c r="H179">
        <v>178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 t="s">
        <v>24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</row>
    <row r="180" spans="1:21" x14ac:dyDescent="0.25">
      <c r="A180">
        <v>179</v>
      </c>
      <c r="B180" t="s">
        <v>23</v>
      </c>
      <c r="D180">
        <v>1</v>
      </c>
      <c r="E180">
        <v>10</v>
      </c>
      <c r="F180">
        <v>0</v>
      </c>
      <c r="G180">
        <v>180</v>
      </c>
      <c r="H180">
        <v>179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 t="s">
        <v>24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</row>
    <row r="181" spans="1:21" x14ac:dyDescent="0.25">
      <c r="A181">
        <v>180</v>
      </c>
      <c r="B181" t="s">
        <v>23</v>
      </c>
      <c r="D181">
        <v>1</v>
      </c>
      <c r="E181">
        <v>10</v>
      </c>
      <c r="F181">
        <v>0</v>
      </c>
      <c r="G181">
        <v>181</v>
      </c>
      <c r="H181">
        <v>180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 t="s">
        <v>24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</row>
    <row r="182" spans="1:21" x14ac:dyDescent="0.25">
      <c r="A182">
        <v>181</v>
      </c>
      <c r="B182" t="s">
        <v>23</v>
      </c>
      <c r="D182">
        <v>1</v>
      </c>
      <c r="E182">
        <v>10</v>
      </c>
      <c r="F182">
        <v>0</v>
      </c>
      <c r="G182">
        <v>182</v>
      </c>
      <c r="H182">
        <v>181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 t="s">
        <v>24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</row>
    <row r="183" spans="1:21" x14ac:dyDescent="0.25">
      <c r="A183">
        <v>182</v>
      </c>
      <c r="B183" t="s">
        <v>23</v>
      </c>
      <c r="D183">
        <v>1</v>
      </c>
      <c r="E183">
        <v>10</v>
      </c>
      <c r="F183">
        <v>0</v>
      </c>
      <c r="G183">
        <v>183</v>
      </c>
      <c r="H183">
        <v>182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 t="s">
        <v>24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</row>
    <row r="184" spans="1:21" x14ac:dyDescent="0.25">
      <c r="A184">
        <v>183</v>
      </c>
      <c r="B184" t="s">
        <v>23</v>
      </c>
      <c r="D184">
        <v>1</v>
      </c>
      <c r="E184">
        <v>10</v>
      </c>
      <c r="F184">
        <v>0</v>
      </c>
      <c r="G184">
        <v>184</v>
      </c>
      <c r="H184">
        <v>183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 t="s">
        <v>24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</row>
    <row r="185" spans="1:21" x14ac:dyDescent="0.25">
      <c r="A185">
        <v>184</v>
      </c>
      <c r="B185" t="s">
        <v>23</v>
      </c>
      <c r="D185">
        <v>1</v>
      </c>
      <c r="E185">
        <v>10</v>
      </c>
      <c r="F185">
        <v>0</v>
      </c>
      <c r="G185">
        <v>185</v>
      </c>
      <c r="H185">
        <v>184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 t="s">
        <v>24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</row>
    <row r="186" spans="1:21" x14ac:dyDescent="0.25">
      <c r="A186">
        <v>185</v>
      </c>
      <c r="B186" t="s">
        <v>23</v>
      </c>
      <c r="D186">
        <v>1</v>
      </c>
      <c r="E186">
        <v>10</v>
      </c>
      <c r="F186">
        <v>0</v>
      </c>
      <c r="G186">
        <v>186</v>
      </c>
      <c r="H186">
        <v>185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 t="s">
        <v>24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</row>
    <row r="187" spans="1:21" x14ac:dyDescent="0.25">
      <c r="A187">
        <v>186</v>
      </c>
      <c r="B187" t="s">
        <v>23</v>
      </c>
      <c r="D187">
        <v>1</v>
      </c>
      <c r="E187">
        <v>10</v>
      </c>
      <c r="F187">
        <v>0</v>
      </c>
      <c r="G187">
        <v>187</v>
      </c>
      <c r="H187">
        <v>186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 t="s">
        <v>24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</row>
    <row r="188" spans="1:21" x14ac:dyDescent="0.25">
      <c r="A188">
        <v>187</v>
      </c>
      <c r="B188" t="s">
        <v>23</v>
      </c>
      <c r="D188">
        <v>1</v>
      </c>
      <c r="E188">
        <v>10</v>
      </c>
      <c r="F188">
        <v>0</v>
      </c>
      <c r="G188">
        <v>188</v>
      </c>
      <c r="H188">
        <v>187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 t="s">
        <v>24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</row>
    <row r="189" spans="1:21" x14ac:dyDescent="0.25">
      <c r="A189">
        <v>188</v>
      </c>
      <c r="B189" t="s">
        <v>23</v>
      </c>
      <c r="D189">
        <v>1</v>
      </c>
      <c r="E189">
        <v>10</v>
      </c>
      <c r="F189">
        <v>0</v>
      </c>
      <c r="G189">
        <v>189</v>
      </c>
      <c r="H189">
        <v>188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 t="s">
        <v>24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</row>
    <row r="190" spans="1:21" x14ac:dyDescent="0.25">
      <c r="A190">
        <v>189</v>
      </c>
      <c r="B190" t="s">
        <v>23</v>
      </c>
      <c r="D190">
        <v>1</v>
      </c>
      <c r="E190">
        <v>10</v>
      </c>
      <c r="F190">
        <v>0</v>
      </c>
      <c r="G190">
        <v>190</v>
      </c>
      <c r="H190">
        <v>189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 t="s">
        <v>24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</row>
    <row r="191" spans="1:21" x14ac:dyDescent="0.25">
      <c r="A191">
        <v>190</v>
      </c>
      <c r="B191" t="s">
        <v>23</v>
      </c>
      <c r="D191">
        <v>1</v>
      </c>
      <c r="E191">
        <v>10</v>
      </c>
      <c r="F191">
        <v>0</v>
      </c>
      <c r="G191">
        <v>191</v>
      </c>
      <c r="H191">
        <v>190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 t="s">
        <v>24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</row>
    <row r="192" spans="1:21" x14ac:dyDescent="0.25">
      <c r="A192">
        <v>191</v>
      </c>
      <c r="B192" t="s">
        <v>23</v>
      </c>
      <c r="D192">
        <v>1</v>
      </c>
      <c r="E192">
        <v>11</v>
      </c>
      <c r="F192">
        <v>0</v>
      </c>
      <c r="G192">
        <v>192</v>
      </c>
      <c r="H192">
        <v>191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 t="s">
        <v>24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</row>
    <row r="193" spans="1:21" x14ac:dyDescent="0.25">
      <c r="A193">
        <v>192</v>
      </c>
      <c r="B193" t="s">
        <v>23</v>
      </c>
      <c r="D193">
        <v>1</v>
      </c>
      <c r="E193">
        <v>11</v>
      </c>
      <c r="F193">
        <v>0</v>
      </c>
      <c r="G193">
        <v>193</v>
      </c>
      <c r="H193">
        <v>192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 t="s">
        <v>24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</row>
    <row r="194" spans="1:21" x14ac:dyDescent="0.25">
      <c r="A194">
        <v>193</v>
      </c>
      <c r="B194" t="s">
        <v>23</v>
      </c>
      <c r="D194">
        <v>1</v>
      </c>
      <c r="E194">
        <v>11</v>
      </c>
      <c r="F194">
        <v>0</v>
      </c>
      <c r="G194">
        <v>194</v>
      </c>
      <c r="H194">
        <v>193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 t="s">
        <v>24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</row>
    <row r="195" spans="1:21" x14ac:dyDescent="0.25">
      <c r="A195">
        <v>194</v>
      </c>
      <c r="B195" t="s">
        <v>23</v>
      </c>
      <c r="D195">
        <v>1</v>
      </c>
      <c r="E195">
        <v>11</v>
      </c>
      <c r="F195">
        <v>0</v>
      </c>
      <c r="G195">
        <v>195</v>
      </c>
      <c r="H195">
        <v>194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 t="s">
        <v>24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</row>
    <row r="196" spans="1:21" x14ac:dyDescent="0.25">
      <c r="A196">
        <v>195</v>
      </c>
      <c r="B196" t="s">
        <v>23</v>
      </c>
      <c r="D196">
        <v>1</v>
      </c>
      <c r="E196">
        <v>11</v>
      </c>
      <c r="F196">
        <v>0</v>
      </c>
      <c r="G196">
        <v>196</v>
      </c>
      <c r="H196">
        <v>195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 t="s">
        <v>24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</row>
    <row r="197" spans="1:21" x14ac:dyDescent="0.25">
      <c r="A197">
        <v>196</v>
      </c>
      <c r="B197" t="s">
        <v>23</v>
      </c>
      <c r="D197">
        <v>1</v>
      </c>
      <c r="E197">
        <v>11</v>
      </c>
      <c r="F197">
        <v>0</v>
      </c>
      <c r="G197">
        <v>197</v>
      </c>
      <c r="H197">
        <v>196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 t="s">
        <v>24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</row>
    <row r="198" spans="1:21" x14ac:dyDescent="0.25">
      <c r="A198">
        <v>197</v>
      </c>
      <c r="B198" t="s">
        <v>23</v>
      </c>
      <c r="D198">
        <v>1</v>
      </c>
      <c r="E198">
        <v>11</v>
      </c>
      <c r="F198">
        <v>0</v>
      </c>
      <c r="G198">
        <v>198</v>
      </c>
      <c r="H198">
        <v>197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 t="s">
        <v>24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</row>
    <row r="199" spans="1:21" x14ac:dyDescent="0.25">
      <c r="A199">
        <v>198</v>
      </c>
      <c r="B199" t="s">
        <v>23</v>
      </c>
      <c r="D199">
        <v>1</v>
      </c>
      <c r="E199">
        <v>11</v>
      </c>
      <c r="F199">
        <v>0</v>
      </c>
      <c r="G199">
        <v>199</v>
      </c>
      <c r="H199">
        <v>198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 t="s">
        <v>24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</row>
    <row r="200" spans="1:21" x14ac:dyDescent="0.25">
      <c r="A200">
        <v>199</v>
      </c>
      <c r="B200" t="s">
        <v>23</v>
      </c>
      <c r="D200">
        <v>1</v>
      </c>
      <c r="E200">
        <v>11</v>
      </c>
      <c r="F200">
        <v>0</v>
      </c>
      <c r="G200">
        <v>200</v>
      </c>
      <c r="H200">
        <v>199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 t="s">
        <v>24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</row>
    <row r="201" spans="1:21" x14ac:dyDescent="0.25">
      <c r="A201">
        <v>200</v>
      </c>
      <c r="B201" t="s">
        <v>23</v>
      </c>
      <c r="D201">
        <v>1</v>
      </c>
      <c r="E201">
        <v>11</v>
      </c>
      <c r="F201">
        <v>0</v>
      </c>
      <c r="G201">
        <v>201</v>
      </c>
      <c r="H201">
        <v>200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 t="s">
        <v>24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</row>
    <row r="202" spans="1:21" x14ac:dyDescent="0.25">
      <c r="A202">
        <v>201</v>
      </c>
      <c r="B202" t="s">
        <v>23</v>
      </c>
      <c r="D202">
        <v>1</v>
      </c>
      <c r="E202">
        <v>11</v>
      </c>
      <c r="F202">
        <v>0</v>
      </c>
      <c r="G202">
        <v>202</v>
      </c>
      <c r="H202">
        <v>201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 t="s">
        <v>24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</row>
    <row r="203" spans="1:21" x14ac:dyDescent="0.25">
      <c r="A203">
        <v>202</v>
      </c>
      <c r="B203" t="s">
        <v>23</v>
      </c>
      <c r="D203">
        <v>1</v>
      </c>
      <c r="E203">
        <v>11</v>
      </c>
      <c r="F203">
        <v>0</v>
      </c>
      <c r="G203">
        <v>203</v>
      </c>
      <c r="H203">
        <v>202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 t="s">
        <v>24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</row>
    <row r="204" spans="1:21" x14ac:dyDescent="0.25">
      <c r="A204">
        <v>203</v>
      </c>
      <c r="B204" t="s">
        <v>23</v>
      </c>
      <c r="D204">
        <v>1</v>
      </c>
      <c r="E204">
        <v>11</v>
      </c>
      <c r="F204">
        <v>0</v>
      </c>
      <c r="G204">
        <v>204</v>
      </c>
      <c r="H204">
        <v>203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 t="s">
        <v>24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</row>
    <row r="205" spans="1:21" x14ac:dyDescent="0.25">
      <c r="A205">
        <v>204</v>
      </c>
      <c r="B205" t="s">
        <v>23</v>
      </c>
      <c r="D205">
        <v>1</v>
      </c>
      <c r="E205">
        <v>12</v>
      </c>
      <c r="F205">
        <v>0</v>
      </c>
      <c r="G205">
        <v>205</v>
      </c>
      <c r="H205">
        <v>204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 t="s">
        <v>24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</row>
    <row r="206" spans="1:21" x14ac:dyDescent="0.25">
      <c r="A206">
        <v>205</v>
      </c>
      <c r="B206" t="s">
        <v>23</v>
      </c>
      <c r="D206">
        <v>1</v>
      </c>
      <c r="E206">
        <v>12</v>
      </c>
      <c r="F206">
        <v>0</v>
      </c>
      <c r="G206">
        <v>206</v>
      </c>
      <c r="H206">
        <v>205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 t="s">
        <v>24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</row>
    <row r="207" spans="1:21" x14ac:dyDescent="0.25">
      <c r="A207">
        <v>206</v>
      </c>
      <c r="B207" t="s">
        <v>23</v>
      </c>
      <c r="D207">
        <v>1</v>
      </c>
      <c r="E207">
        <v>12</v>
      </c>
      <c r="F207">
        <v>0</v>
      </c>
      <c r="G207">
        <v>207</v>
      </c>
      <c r="H207">
        <v>206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 t="s">
        <v>24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</row>
    <row r="208" spans="1:21" x14ac:dyDescent="0.25">
      <c r="A208">
        <v>207</v>
      </c>
      <c r="B208" t="s">
        <v>23</v>
      </c>
      <c r="D208">
        <v>1</v>
      </c>
      <c r="E208">
        <v>12</v>
      </c>
      <c r="F208">
        <v>0</v>
      </c>
      <c r="G208">
        <v>208</v>
      </c>
      <c r="H208">
        <v>207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 t="s">
        <v>24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</row>
    <row r="209" spans="1:21" x14ac:dyDescent="0.25">
      <c r="A209">
        <v>208</v>
      </c>
      <c r="B209" t="s">
        <v>23</v>
      </c>
      <c r="D209">
        <v>1</v>
      </c>
      <c r="E209">
        <v>12</v>
      </c>
      <c r="F209">
        <v>0</v>
      </c>
      <c r="G209">
        <v>209</v>
      </c>
      <c r="H209">
        <v>208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 t="s">
        <v>24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</row>
    <row r="210" spans="1:21" x14ac:dyDescent="0.25">
      <c r="A210">
        <v>209</v>
      </c>
      <c r="B210" t="s">
        <v>23</v>
      </c>
      <c r="D210">
        <v>1</v>
      </c>
      <c r="E210">
        <v>12</v>
      </c>
      <c r="F210">
        <v>0</v>
      </c>
      <c r="G210">
        <v>210</v>
      </c>
      <c r="H210">
        <v>209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 t="s">
        <v>24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</row>
    <row r="211" spans="1:21" x14ac:dyDescent="0.25">
      <c r="A211">
        <v>210</v>
      </c>
      <c r="B211" t="s">
        <v>23</v>
      </c>
      <c r="D211">
        <v>1</v>
      </c>
      <c r="E211">
        <v>12</v>
      </c>
      <c r="F211">
        <v>0</v>
      </c>
      <c r="G211">
        <v>211</v>
      </c>
      <c r="H211">
        <v>210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 t="s">
        <v>24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</row>
    <row r="212" spans="1:21" x14ac:dyDescent="0.25">
      <c r="A212">
        <v>211</v>
      </c>
      <c r="B212" t="s">
        <v>23</v>
      </c>
      <c r="D212">
        <v>1</v>
      </c>
      <c r="E212">
        <v>12</v>
      </c>
      <c r="F212">
        <v>0</v>
      </c>
      <c r="G212">
        <v>212</v>
      </c>
      <c r="H212">
        <v>211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 t="s">
        <v>24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</row>
    <row r="213" spans="1:21" x14ac:dyDescent="0.25">
      <c r="A213">
        <v>212</v>
      </c>
      <c r="B213" t="s">
        <v>23</v>
      </c>
      <c r="D213">
        <v>1</v>
      </c>
      <c r="E213">
        <v>12</v>
      </c>
      <c r="F213">
        <v>0</v>
      </c>
      <c r="G213">
        <v>213</v>
      </c>
      <c r="H213">
        <v>212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 t="s">
        <v>24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</row>
    <row r="214" spans="1:21" x14ac:dyDescent="0.25">
      <c r="A214">
        <v>213</v>
      </c>
      <c r="B214" t="s">
        <v>23</v>
      </c>
      <c r="D214">
        <v>1</v>
      </c>
      <c r="E214">
        <v>12</v>
      </c>
      <c r="F214">
        <v>0</v>
      </c>
      <c r="G214">
        <v>214</v>
      </c>
      <c r="H214">
        <v>213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 t="s">
        <v>24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</row>
    <row r="215" spans="1:21" x14ac:dyDescent="0.25">
      <c r="A215">
        <v>214</v>
      </c>
      <c r="B215" t="s">
        <v>23</v>
      </c>
      <c r="D215">
        <v>1</v>
      </c>
      <c r="E215">
        <v>12</v>
      </c>
      <c r="F215">
        <v>0</v>
      </c>
      <c r="G215">
        <v>215</v>
      </c>
      <c r="H215">
        <v>214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 t="s">
        <v>24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</row>
    <row r="216" spans="1:21" x14ac:dyDescent="0.25">
      <c r="A216">
        <v>215</v>
      </c>
      <c r="B216" t="s">
        <v>23</v>
      </c>
      <c r="D216">
        <v>1</v>
      </c>
      <c r="E216">
        <v>12</v>
      </c>
      <c r="F216">
        <v>0</v>
      </c>
      <c r="G216">
        <v>216</v>
      </c>
      <c r="H216">
        <v>215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 t="s">
        <v>24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</row>
    <row r="217" spans="1:21" x14ac:dyDescent="0.25">
      <c r="A217">
        <v>216</v>
      </c>
      <c r="B217" t="s">
        <v>23</v>
      </c>
      <c r="D217">
        <v>1</v>
      </c>
      <c r="E217">
        <v>12</v>
      </c>
      <c r="F217">
        <v>0</v>
      </c>
      <c r="G217">
        <v>217</v>
      </c>
      <c r="H217">
        <v>216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 t="s">
        <v>24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</row>
    <row r="218" spans="1:21" x14ac:dyDescent="0.25">
      <c r="A218">
        <v>217</v>
      </c>
      <c r="B218" t="s">
        <v>23</v>
      </c>
      <c r="D218">
        <v>1</v>
      </c>
      <c r="E218">
        <v>12</v>
      </c>
      <c r="F218">
        <v>0</v>
      </c>
      <c r="G218">
        <v>218</v>
      </c>
      <c r="H218">
        <v>217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 t="s">
        <v>24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</row>
    <row r="219" spans="1:21" x14ac:dyDescent="0.25">
      <c r="A219">
        <v>218</v>
      </c>
      <c r="B219" t="s">
        <v>23</v>
      </c>
      <c r="D219">
        <v>1</v>
      </c>
      <c r="E219">
        <v>12</v>
      </c>
      <c r="F219">
        <v>0</v>
      </c>
      <c r="G219">
        <v>219</v>
      </c>
      <c r="H219">
        <v>218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 t="s">
        <v>24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</row>
    <row r="220" spans="1:21" x14ac:dyDescent="0.25">
      <c r="A220">
        <v>219</v>
      </c>
      <c r="B220" t="s">
        <v>23</v>
      </c>
      <c r="D220">
        <v>1</v>
      </c>
      <c r="E220">
        <v>12</v>
      </c>
      <c r="F220">
        <v>0</v>
      </c>
      <c r="G220">
        <v>220</v>
      </c>
      <c r="H220">
        <v>219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 t="s">
        <v>24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</row>
    <row r="221" spans="1:21" x14ac:dyDescent="0.25">
      <c r="A221">
        <v>220</v>
      </c>
      <c r="B221" t="s">
        <v>23</v>
      </c>
      <c r="D221">
        <v>1</v>
      </c>
      <c r="E221">
        <v>12</v>
      </c>
      <c r="F221">
        <v>0</v>
      </c>
      <c r="G221">
        <v>221</v>
      </c>
      <c r="H221">
        <v>220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 t="s">
        <v>24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</row>
    <row r="222" spans="1:21" x14ac:dyDescent="0.25">
      <c r="A222">
        <v>221</v>
      </c>
      <c r="B222" t="s">
        <v>23</v>
      </c>
      <c r="D222">
        <v>1</v>
      </c>
      <c r="E222">
        <v>12</v>
      </c>
      <c r="F222">
        <v>0</v>
      </c>
      <c r="G222">
        <v>222</v>
      </c>
      <c r="H222">
        <v>221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 t="s">
        <v>24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</row>
    <row r="223" spans="1:21" x14ac:dyDescent="0.25">
      <c r="A223">
        <v>222</v>
      </c>
      <c r="B223" t="s">
        <v>23</v>
      </c>
      <c r="D223">
        <v>1</v>
      </c>
      <c r="E223">
        <v>12</v>
      </c>
      <c r="F223">
        <v>0</v>
      </c>
      <c r="G223">
        <v>223</v>
      </c>
      <c r="H223">
        <v>222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 t="s">
        <v>24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</row>
    <row r="224" spans="1:21" x14ac:dyDescent="0.25">
      <c r="A224">
        <v>223</v>
      </c>
      <c r="B224" t="s">
        <v>23</v>
      </c>
      <c r="D224">
        <v>1</v>
      </c>
      <c r="E224">
        <v>12</v>
      </c>
      <c r="F224">
        <v>0</v>
      </c>
      <c r="G224">
        <v>224</v>
      </c>
      <c r="H224">
        <v>223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 t="s">
        <v>24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</row>
    <row r="225" spans="1:21" x14ac:dyDescent="0.25">
      <c r="A225">
        <v>224</v>
      </c>
      <c r="B225" t="s">
        <v>23</v>
      </c>
      <c r="D225">
        <v>1</v>
      </c>
      <c r="E225">
        <v>12</v>
      </c>
      <c r="F225">
        <v>0</v>
      </c>
      <c r="G225">
        <v>225</v>
      </c>
      <c r="H225">
        <v>224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 t="s">
        <v>24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</row>
    <row r="226" spans="1:21" x14ac:dyDescent="0.25">
      <c r="A226">
        <v>225</v>
      </c>
      <c r="B226" t="s">
        <v>23</v>
      </c>
      <c r="D226">
        <v>1</v>
      </c>
      <c r="E226">
        <v>12</v>
      </c>
      <c r="F226">
        <v>0</v>
      </c>
      <c r="G226">
        <v>226</v>
      </c>
      <c r="H226">
        <v>225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 t="s">
        <v>24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</row>
    <row r="227" spans="1:21" x14ac:dyDescent="0.25">
      <c r="A227">
        <v>226</v>
      </c>
      <c r="B227" t="s">
        <v>23</v>
      </c>
      <c r="D227">
        <v>1</v>
      </c>
      <c r="E227">
        <v>12</v>
      </c>
      <c r="F227">
        <v>0</v>
      </c>
      <c r="G227">
        <v>227</v>
      </c>
      <c r="H227">
        <v>226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 t="s">
        <v>24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</row>
    <row r="228" spans="1:21" x14ac:dyDescent="0.25">
      <c r="A228">
        <v>227</v>
      </c>
      <c r="B228" t="s">
        <v>23</v>
      </c>
      <c r="D228">
        <v>1</v>
      </c>
      <c r="E228">
        <v>12</v>
      </c>
      <c r="F228">
        <v>0</v>
      </c>
      <c r="G228">
        <v>228</v>
      </c>
      <c r="H228">
        <v>227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 t="s">
        <v>24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</row>
    <row r="229" spans="1:21" x14ac:dyDescent="0.25">
      <c r="A229">
        <v>228</v>
      </c>
      <c r="B229" t="s">
        <v>23</v>
      </c>
      <c r="D229">
        <v>1</v>
      </c>
      <c r="E229">
        <v>12</v>
      </c>
      <c r="F229">
        <v>0</v>
      </c>
      <c r="G229">
        <v>229</v>
      </c>
      <c r="H229">
        <v>228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 t="s">
        <v>24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</row>
    <row r="230" spans="1:21" x14ac:dyDescent="0.25">
      <c r="A230">
        <v>229</v>
      </c>
      <c r="B230" t="s">
        <v>23</v>
      </c>
      <c r="D230">
        <v>1</v>
      </c>
      <c r="E230">
        <v>12</v>
      </c>
      <c r="F230">
        <v>0</v>
      </c>
      <c r="G230">
        <v>230</v>
      </c>
      <c r="H230">
        <v>229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 t="s">
        <v>24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</row>
    <row r="231" spans="1:21" x14ac:dyDescent="0.25">
      <c r="A231">
        <v>230</v>
      </c>
      <c r="B231" t="s">
        <v>23</v>
      </c>
      <c r="D231">
        <v>1</v>
      </c>
      <c r="E231">
        <v>11</v>
      </c>
      <c r="F231">
        <v>0</v>
      </c>
      <c r="G231">
        <v>231</v>
      </c>
      <c r="H231">
        <v>230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 t="s">
        <v>24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</row>
    <row r="232" spans="1:21" x14ac:dyDescent="0.25">
      <c r="A232">
        <v>231</v>
      </c>
      <c r="B232" t="s">
        <v>23</v>
      </c>
      <c r="D232">
        <v>1</v>
      </c>
      <c r="E232">
        <v>11</v>
      </c>
      <c r="F232">
        <v>0</v>
      </c>
      <c r="G232">
        <v>232</v>
      </c>
      <c r="H232">
        <v>231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 t="s">
        <v>24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</row>
    <row r="233" spans="1:21" x14ac:dyDescent="0.25">
      <c r="A233">
        <v>232</v>
      </c>
      <c r="B233" t="s">
        <v>23</v>
      </c>
      <c r="D233">
        <v>1</v>
      </c>
      <c r="E233">
        <v>11</v>
      </c>
      <c r="F233">
        <v>0</v>
      </c>
      <c r="G233">
        <v>233</v>
      </c>
      <c r="H233">
        <v>232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 t="s">
        <v>24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</row>
    <row r="234" spans="1:21" x14ac:dyDescent="0.25">
      <c r="A234">
        <v>233</v>
      </c>
      <c r="B234" t="s">
        <v>23</v>
      </c>
      <c r="D234">
        <v>1</v>
      </c>
      <c r="E234">
        <v>11</v>
      </c>
      <c r="F234">
        <v>0</v>
      </c>
      <c r="G234">
        <v>234</v>
      </c>
      <c r="H234">
        <v>233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 t="s">
        <v>24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</row>
    <row r="235" spans="1:21" x14ac:dyDescent="0.25">
      <c r="A235">
        <v>234</v>
      </c>
      <c r="B235" t="s">
        <v>23</v>
      </c>
      <c r="D235">
        <v>1</v>
      </c>
      <c r="E235">
        <v>11</v>
      </c>
      <c r="F235">
        <v>0</v>
      </c>
      <c r="G235">
        <v>235</v>
      </c>
      <c r="H235">
        <v>234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 t="s">
        <v>24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</row>
    <row r="236" spans="1:21" x14ac:dyDescent="0.25">
      <c r="A236">
        <v>235</v>
      </c>
      <c r="B236" t="s">
        <v>23</v>
      </c>
      <c r="D236">
        <v>1</v>
      </c>
      <c r="E236">
        <v>11</v>
      </c>
      <c r="F236">
        <v>0</v>
      </c>
      <c r="G236">
        <v>236</v>
      </c>
      <c r="H236">
        <v>235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 t="s">
        <v>24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</row>
    <row r="237" spans="1:21" x14ac:dyDescent="0.25">
      <c r="A237">
        <v>236</v>
      </c>
      <c r="B237" t="s">
        <v>23</v>
      </c>
      <c r="D237">
        <v>1</v>
      </c>
      <c r="E237">
        <v>11</v>
      </c>
      <c r="F237">
        <v>0</v>
      </c>
      <c r="G237">
        <v>237</v>
      </c>
      <c r="H237">
        <v>236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 t="s">
        <v>24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</row>
    <row r="238" spans="1:21" x14ac:dyDescent="0.25">
      <c r="A238">
        <v>237</v>
      </c>
      <c r="B238" t="s">
        <v>23</v>
      </c>
      <c r="D238">
        <v>1</v>
      </c>
      <c r="E238">
        <v>11</v>
      </c>
      <c r="F238">
        <v>0</v>
      </c>
      <c r="G238">
        <v>238</v>
      </c>
      <c r="H238">
        <v>237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 t="s">
        <v>24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</row>
    <row r="239" spans="1:21" x14ac:dyDescent="0.25">
      <c r="A239">
        <v>238</v>
      </c>
      <c r="B239" t="s">
        <v>23</v>
      </c>
      <c r="D239">
        <v>1</v>
      </c>
      <c r="E239">
        <v>11</v>
      </c>
      <c r="F239">
        <v>0</v>
      </c>
      <c r="G239">
        <v>239</v>
      </c>
      <c r="H239">
        <v>238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 t="s">
        <v>24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</row>
    <row r="240" spans="1:21" x14ac:dyDescent="0.25">
      <c r="A240">
        <v>239</v>
      </c>
      <c r="B240" t="s">
        <v>23</v>
      </c>
      <c r="D240">
        <v>1</v>
      </c>
      <c r="E240">
        <v>11</v>
      </c>
      <c r="F240">
        <v>0</v>
      </c>
      <c r="G240">
        <v>240</v>
      </c>
      <c r="H240">
        <v>239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 t="s">
        <v>24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</row>
    <row r="241" spans="1:21" x14ac:dyDescent="0.25">
      <c r="A241">
        <v>240</v>
      </c>
      <c r="B241" t="s">
        <v>23</v>
      </c>
      <c r="D241">
        <v>1</v>
      </c>
      <c r="E241">
        <v>11</v>
      </c>
      <c r="F241">
        <v>0</v>
      </c>
      <c r="G241">
        <v>241</v>
      </c>
      <c r="H241">
        <v>240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 t="s">
        <v>24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</row>
    <row r="242" spans="1:21" x14ac:dyDescent="0.25">
      <c r="A242">
        <v>241</v>
      </c>
      <c r="B242" t="s">
        <v>23</v>
      </c>
      <c r="D242">
        <v>1</v>
      </c>
      <c r="E242">
        <v>11</v>
      </c>
      <c r="F242">
        <v>0</v>
      </c>
      <c r="G242">
        <v>242</v>
      </c>
      <c r="H242">
        <v>241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 t="s">
        <v>24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</row>
    <row r="243" spans="1:21" x14ac:dyDescent="0.25">
      <c r="A243">
        <v>242</v>
      </c>
      <c r="B243" t="s">
        <v>23</v>
      </c>
      <c r="D243">
        <v>1</v>
      </c>
      <c r="E243">
        <v>11</v>
      </c>
      <c r="F243">
        <v>0</v>
      </c>
      <c r="G243">
        <v>243</v>
      </c>
      <c r="H243">
        <v>242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 t="s">
        <v>24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</row>
    <row r="244" spans="1:21" x14ac:dyDescent="0.25">
      <c r="A244">
        <v>243</v>
      </c>
      <c r="B244" t="s">
        <v>23</v>
      </c>
      <c r="D244">
        <v>1</v>
      </c>
      <c r="E244">
        <v>10</v>
      </c>
      <c r="F244">
        <v>0</v>
      </c>
      <c r="G244">
        <v>244</v>
      </c>
      <c r="H244">
        <v>243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 t="s">
        <v>24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</row>
    <row r="245" spans="1:21" x14ac:dyDescent="0.25">
      <c r="A245">
        <v>244</v>
      </c>
      <c r="B245" t="s">
        <v>23</v>
      </c>
      <c r="D245">
        <v>1</v>
      </c>
      <c r="E245">
        <v>10</v>
      </c>
      <c r="F245">
        <v>0</v>
      </c>
      <c r="G245">
        <v>245</v>
      </c>
      <c r="H245">
        <v>244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 t="s">
        <v>24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</row>
    <row r="246" spans="1:21" x14ac:dyDescent="0.25">
      <c r="A246">
        <v>245</v>
      </c>
      <c r="B246" t="s">
        <v>23</v>
      </c>
      <c r="D246">
        <v>1</v>
      </c>
      <c r="E246">
        <v>10</v>
      </c>
      <c r="F246">
        <v>0</v>
      </c>
      <c r="G246">
        <v>246</v>
      </c>
      <c r="H246">
        <v>245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 t="s">
        <v>24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</row>
    <row r="247" spans="1:21" x14ac:dyDescent="0.25">
      <c r="A247">
        <v>246</v>
      </c>
      <c r="B247" t="s">
        <v>23</v>
      </c>
      <c r="D247">
        <v>1</v>
      </c>
      <c r="E247">
        <v>10</v>
      </c>
      <c r="F247">
        <v>0</v>
      </c>
      <c r="G247">
        <v>247</v>
      </c>
      <c r="H247">
        <v>246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 t="s">
        <v>24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</row>
    <row r="248" spans="1:21" x14ac:dyDescent="0.25">
      <c r="A248">
        <v>247</v>
      </c>
      <c r="B248" t="s">
        <v>23</v>
      </c>
      <c r="D248">
        <v>1</v>
      </c>
      <c r="E248">
        <v>10</v>
      </c>
      <c r="F248">
        <v>0</v>
      </c>
      <c r="G248">
        <v>248</v>
      </c>
      <c r="H248">
        <v>247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 t="s">
        <v>24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</row>
    <row r="249" spans="1:21" x14ac:dyDescent="0.25">
      <c r="A249">
        <v>248</v>
      </c>
      <c r="B249" t="s">
        <v>23</v>
      </c>
      <c r="D249">
        <v>1</v>
      </c>
      <c r="E249">
        <v>10</v>
      </c>
      <c r="F249">
        <v>0</v>
      </c>
      <c r="G249">
        <v>249</v>
      </c>
      <c r="H249">
        <v>248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 t="s">
        <v>24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</row>
    <row r="250" spans="1:21" x14ac:dyDescent="0.25">
      <c r="A250">
        <v>249</v>
      </c>
      <c r="B250" t="s">
        <v>23</v>
      </c>
      <c r="D250">
        <v>1</v>
      </c>
      <c r="E250">
        <v>10</v>
      </c>
      <c r="F250">
        <v>0</v>
      </c>
      <c r="G250">
        <v>250</v>
      </c>
      <c r="H250">
        <v>249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 t="s">
        <v>24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</row>
    <row r="251" spans="1:21" x14ac:dyDescent="0.25">
      <c r="A251">
        <v>250</v>
      </c>
      <c r="B251" t="s">
        <v>23</v>
      </c>
      <c r="D251">
        <v>1</v>
      </c>
      <c r="E251">
        <v>10</v>
      </c>
      <c r="F251">
        <v>0</v>
      </c>
      <c r="G251">
        <v>251</v>
      </c>
      <c r="H251">
        <v>250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 t="s">
        <v>24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</row>
    <row r="252" spans="1:21" x14ac:dyDescent="0.25">
      <c r="A252">
        <v>251</v>
      </c>
      <c r="B252" t="s">
        <v>23</v>
      </c>
      <c r="D252">
        <v>1</v>
      </c>
      <c r="E252">
        <v>10</v>
      </c>
      <c r="F252">
        <v>0</v>
      </c>
      <c r="G252">
        <v>252</v>
      </c>
      <c r="H252">
        <v>251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 t="s">
        <v>24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</row>
    <row r="253" spans="1:21" x14ac:dyDescent="0.25">
      <c r="A253">
        <v>252</v>
      </c>
      <c r="B253" t="s">
        <v>23</v>
      </c>
      <c r="D253">
        <v>1</v>
      </c>
      <c r="E253">
        <v>10</v>
      </c>
      <c r="F253">
        <v>0</v>
      </c>
      <c r="G253">
        <v>253</v>
      </c>
      <c r="H253">
        <v>252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 t="s">
        <v>24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</row>
    <row r="254" spans="1:21" x14ac:dyDescent="0.25">
      <c r="A254">
        <v>253</v>
      </c>
      <c r="B254" t="s">
        <v>23</v>
      </c>
      <c r="D254">
        <v>1</v>
      </c>
      <c r="E254">
        <v>10</v>
      </c>
      <c r="F254">
        <v>0</v>
      </c>
      <c r="G254">
        <v>254</v>
      </c>
      <c r="H254">
        <v>253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 t="s">
        <v>24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</row>
    <row r="255" spans="1:21" x14ac:dyDescent="0.25">
      <c r="A255">
        <v>254</v>
      </c>
      <c r="B255" t="s">
        <v>23</v>
      </c>
      <c r="D255">
        <v>1</v>
      </c>
      <c r="E255">
        <v>10</v>
      </c>
      <c r="F255">
        <v>0</v>
      </c>
      <c r="G255">
        <v>255</v>
      </c>
      <c r="H255">
        <v>254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 t="s">
        <v>24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</row>
    <row r="256" spans="1:21" x14ac:dyDescent="0.25">
      <c r="A256">
        <v>255</v>
      </c>
      <c r="B256" t="s">
        <v>23</v>
      </c>
      <c r="D256">
        <v>1</v>
      </c>
      <c r="E256">
        <v>10</v>
      </c>
      <c r="F256">
        <v>0</v>
      </c>
      <c r="G256">
        <v>256</v>
      </c>
      <c r="H256">
        <v>255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 t="s">
        <v>24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</row>
    <row r="257" spans="1:21" x14ac:dyDescent="0.25">
      <c r="A257">
        <v>256</v>
      </c>
      <c r="B257" t="s">
        <v>23</v>
      </c>
      <c r="D257">
        <v>1</v>
      </c>
      <c r="E257">
        <v>11</v>
      </c>
      <c r="F257">
        <v>0</v>
      </c>
      <c r="G257">
        <v>257</v>
      </c>
      <c r="H257">
        <v>256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 t="s">
        <v>24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</row>
    <row r="258" spans="1:21" x14ac:dyDescent="0.25">
      <c r="A258">
        <v>257</v>
      </c>
      <c r="B258" t="s">
        <v>23</v>
      </c>
      <c r="D258">
        <v>1</v>
      </c>
      <c r="E258">
        <v>11</v>
      </c>
      <c r="F258">
        <v>0</v>
      </c>
      <c r="G258">
        <v>258</v>
      </c>
      <c r="H258">
        <v>257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 t="s">
        <v>24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</row>
    <row r="259" spans="1:21" x14ac:dyDescent="0.25">
      <c r="A259">
        <v>258</v>
      </c>
      <c r="B259" t="s">
        <v>23</v>
      </c>
      <c r="D259">
        <v>1</v>
      </c>
      <c r="E259">
        <v>11</v>
      </c>
      <c r="F259">
        <v>0</v>
      </c>
      <c r="G259">
        <v>259</v>
      </c>
      <c r="H259">
        <v>258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 t="s">
        <v>24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</row>
    <row r="260" spans="1:21" x14ac:dyDescent="0.25">
      <c r="A260">
        <v>259</v>
      </c>
      <c r="B260" t="s">
        <v>23</v>
      </c>
      <c r="D260">
        <v>1</v>
      </c>
      <c r="E260">
        <v>11</v>
      </c>
      <c r="F260">
        <v>0</v>
      </c>
      <c r="G260">
        <v>260</v>
      </c>
      <c r="H260">
        <v>259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 t="s">
        <v>24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</row>
    <row r="261" spans="1:21" x14ac:dyDescent="0.25">
      <c r="A261">
        <v>260</v>
      </c>
      <c r="B261" t="s">
        <v>23</v>
      </c>
      <c r="D261">
        <v>1</v>
      </c>
      <c r="E261">
        <v>11</v>
      </c>
      <c r="F261">
        <v>0</v>
      </c>
      <c r="G261">
        <v>261</v>
      </c>
      <c r="H261">
        <v>260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 t="s">
        <v>24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</row>
    <row r="262" spans="1:21" x14ac:dyDescent="0.25">
      <c r="A262">
        <v>261</v>
      </c>
      <c r="B262" t="s">
        <v>23</v>
      </c>
      <c r="D262">
        <v>1</v>
      </c>
      <c r="E262">
        <v>11</v>
      </c>
      <c r="F262">
        <v>0</v>
      </c>
      <c r="G262">
        <v>262</v>
      </c>
      <c r="H262">
        <v>261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 t="s">
        <v>24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</row>
    <row r="263" spans="1:21" x14ac:dyDescent="0.25">
      <c r="A263">
        <v>262</v>
      </c>
      <c r="B263" t="s">
        <v>23</v>
      </c>
      <c r="D263">
        <v>1</v>
      </c>
      <c r="E263">
        <v>11</v>
      </c>
      <c r="F263">
        <v>0</v>
      </c>
      <c r="G263">
        <v>263</v>
      </c>
      <c r="H263">
        <v>262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 t="s">
        <v>24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</row>
    <row r="264" spans="1:21" x14ac:dyDescent="0.25">
      <c r="A264">
        <v>263</v>
      </c>
      <c r="B264" t="s">
        <v>23</v>
      </c>
      <c r="D264">
        <v>1</v>
      </c>
      <c r="E264">
        <v>11</v>
      </c>
      <c r="F264">
        <v>0</v>
      </c>
      <c r="G264">
        <v>264</v>
      </c>
      <c r="H264">
        <v>263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 t="s">
        <v>24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</row>
    <row r="265" spans="1:21" x14ac:dyDescent="0.25">
      <c r="A265">
        <v>264</v>
      </c>
      <c r="B265" t="s">
        <v>23</v>
      </c>
      <c r="D265">
        <v>1</v>
      </c>
      <c r="E265">
        <v>11</v>
      </c>
      <c r="F265">
        <v>0</v>
      </c>
      <c r="G265">
        <v>265</v>
      </c>
      <c r="H265">
        <v>264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 t="s">
        <v>24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</row>
    <row r="266" spans="1:21" x14ac:dyDescent="0.25">
      <c r="A266">
        <v>265</v>
      </c>
      <c r="B266" t="s">
        <v>23</v>
      </c>
      <c r="D266">
        <v>1</v>
      </c>
      <c r="E266">
        <v>11</v>
      </c>
      <c r="F266">
        <v>0</v>
      </c>
      <c r="G266">
        <v>266</v>
      </c>
      <c r="H266">
        <v>265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 t="s">
        <v>24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</row>
    <row r="267" spans="1:21" x14ac:dyDescent="0.25">
      <c r="A267">
        <v>266</v>
      </c>
      <c r="B267" t="s">
        <v>23</v>
      </c>
      <c r="D267">
        <v>1</v>
      </c>
      <c r="E267">
        <v>11</v>
      </c>
      <c r="F267">
        <v>0</v>
      </c>
      <c r="G267">
        <v>267</v>
      </c>
      <c r="H267">
        <v>266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 t="s">
        <v>24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</row>
    <row r="268" spans="1:21" x14ac:dyDescent="0.25">
      <c r="A268">
        <v>267</v>
      </c>
      <c r="B268" t="s">
        <v>23</v>
      </c>
      <c r="D268">
        <v>1</v>
      </c>
      <c r="E268">
        <v>11</v>
      </c>
      <c r="F268">
        <v>0</v>
      </c>
      <c r="G268">
        <v>268</v>
      </c>
      <c r="H268">
        <v>267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 t="s">
        <v>24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</row>
    <row r="269" spans="1:21" x14ac:dyDescent="0.25">
      <c r="A269">
        <v>268</v>
      </c>
      <c r="B269" t="s">
        <v>23</v>
      </c>
      <c r="D269">
        <v>1</v>
      </c>
      <c r="E269">
        <v>11</v>
      </c>
      <c r="F269">
        <v>0</v>
      </c>
      <c r="G269">
        <v>269</v>
      </c>
      <c r="H269">
        <v>268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 t="s">
        <v>24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</row>
    <row r="270" spans="1:21" x14ac:dyDescent="0.25">
      <c r="A270">
        <v>269</v>
      </c>
      <c r="B270" t="s">
        <v>23</v>
      </c>
      <c r="D270">
        <v>1</v>
      </c>
      <c r="E270">
        <v>12</v>
      </c>
      <c r="F270">
        <v>0</v>
      </c>
      <c r="G270">
        <v>270</v>
      </c>
      <c r="H270">
        <v>269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 t="s">
        <v>24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</row>
    <row r="271" spans="1:21" x14ac:dyDescent="0.25">
      <c r="A271">
        <v>270</v>
      </c>
      <c r="B271" t="s">
        <v>23</v>
      </c>
      <c r="D271">
        <v>1</v>
      </c>
      <c r="E271">
        <v>12</v>
      </c>
      <c r="F271">
        <v>0</v>
      </c>
      <c r="G271">
        <v>271</v>
      </c>
      <c r="H271">
        <v>270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 t="s">
        <v>24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</row>
    <row r="272" spans="1:21" x14ac:dyDescent="0.25">
      <c r="A272">
        <v>271</v>
      </c>
      <c r="B272" t="s">
        <v>23</v>
      </c>
      <c r="D272">
        <v>1</v>
      </c>
      <c r="E272">
        <v>12</v>
      </c>
      <c r="F272">
        <v>0</v>
      </c>
      <c r="G272">
        <v>272</v>
      </c>
      <c r="H272">
        <v>271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 t="s">
        <v>24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</row>
    <row r="273" spans="1:21" x14ac:dyDescent="0.25">
      <c r="A273">
        <v>272</v>
      </c>
      <c r="B273" t="s">
        <v>23</v>
      </c>
      <c r="D273">
        <v>1</v>
      </c>
      <c r="E273">
        <v>12</v>
      </c>
      <c r="F273">
        <v>0</v>
      </c>
      <c r="G273">
        <v>273</v>
      </c>
      <c r="H273">
        <v>272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 t="s">
        <v>24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</row>
    <row r="274" spans="1:21" x14ac:dyDescent="0.25">
      <c r="A274">
        <v>273</v>
      </c>
      <c r="B274" t="s">
        <v>23</v>
      </c>
      <c r="D274">
        <v>1</v>
      </c>
      <c r="E274">
        <v>12</v>
      </c>
      <c r="F274">
        <v>0</v>
      </c>
      <c r="G274">
        <v>274</v>
      </c>
      <c r="H274">
        <v>273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 t="s">
        <v>24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</row>
    <row r="275" spans="1:21" x14ac:dyDescent="0.25">
      <c r="A275">
        <v>274</v>
      </c>
      <c r="B275" t="s">
        <v>23</v>
      </c>
      <c r="D275">
        <v>1</v>
      </c>
      <c r="E275">
        <v>12</v>
      </c>
      <c r="F275">
        <v>0</v>
      </c>
      <c r="G275">
        <v>275</v>
      </c>
      <c r="H275">
        <v>274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 t="s">
        <v>24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</row>
    <row r="276" spans="1:21" x14ac:dyDescent="0.25">
      <c r="A276">
        <v>275</v>
      </c>
      <c r="B276" t="s">
        <v>23</v>
      </c>
      <c r="D276">
        <v>1</v>
      </c>
      <c r="E276">
        <v>12</v>
      </c>
      <c r="F276">
        <v>0</v>
      </c>
      <c r="G276">
        <v>276</v>
      </c>
      <c r="H276">
        <v>275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 t="s">
        <v>24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</row>
    <row r="277" spans="1:21" x14ac:dyDescent="0.25">
      <c r="A277">
        <v>276</v>
      </c>
      <c r="B277" t="s">
        <v>23</v>
      </c>
      <c r="D277">
        <v>1</v>
      </c>
      <c r="E277">
        <v>12</v>
      </c>
      <c r="F277">
        <v>0</v>
      </c>
      <c r="G277">
        <v>277</v>
      </c>
      <c r="H277">
        <v>276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 t="s">
        <v>24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</row>
    <row r="278" spans="1:21" x14ac:dyDescent="0.25">
      <c r="A278">
        <v>277</v>
      </c>
      <c r="B278" t="s">
        <v>23</v>
      </c>
      <c r="D278">
        <v>1</v>
      </c>
      <c r="E278">
        <v>12</v>
      </c>
      <c r="F278">
        <v>0</v>
      </c>
      <c r="G278">
        <v>278</v>
      </c>
      <c r="H278">
        <v>277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 t="s">
        <v>24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</row>
    <row r="279" spans="1:21" x14ac:dyDescent="0.25">
      <c r="A279">
        <v>278</v>
      </c>
      <c r="B279" t="s">
        <v>23</v>
      </c>
      <c r="D279">
        <v>1</v>
      </c>
      <c r="E279">
        <v>12</v>
      </c>
      <c r="F279">
        <v>0</v>
      </c>
      <c r="G279">
        <v>279</v>
      </c>
      <c r="H279">
        <v>278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 t="s">
        <v>24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</row>
    <row r="280" spans="1:21" x14ac:dyDescent="0.25">
      <c r="A280">
        <v>279</v>
      </c>
      <c r="B280" t="s">
        <v>23</v>
      </c>
      <c r="D280">
        <v>1</v>
      </c>
      <c r="E280">
        <v>12</v>
      </c>
      <c r="F280">
        <v>0</v>
      </c>
      <c r="G280">
        <v>280</v>
      </c>
      <c r="H280">
        <v>279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 t="s">
        <v>24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</row>
    <row r="281" spans="1:21" x14ac:dyDescent="0.25">
      <c r="A281">
        <v>280</v>
      </c>
      <c r="B281" t="s">
        <v>23</v>
      </c>
      <c r="D281">
        <v>1</v>
      </c>
      <c r="E281">
        <v>12</v>
      </c>
      <c r="F281">
        <v>0</v>
      </c>
      <c r="G281">
        <v>281</v>
      </c>
      <c r="H281">
        <v>280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 t="s">
        <v>24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</row>
    <row r="282" spans="1:21" x14ac:dyDescent="0.25">
      <c r="A282">
        <v>281</v>
      </c>
      <c r="B282" t="s">
        <v>23</v>
      </c>
      <c r="D282">
        <v>1</v>
      </c>
      <c r="E282">
        <v>12</v>
      </c>
      <c r="F282">
        <v>0</v>
      </c>
      <c r="G282">
        <v>282</v>
      </c>
      <c r="H282">
        <v>281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 t="s">
        <v>24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</row>
    <row r="283" spans="1:21" x14ac:dyDescent="0.25">
      <c r="A283">
        <v>282</v>
      </c>
      <c r="B283" t="s">
        <v>23</v>
      </c>
      <c r="D283">
        <v>1</v>
      </c>
      <c r="E283">
        <v>12</v>
      </c>
      <c r="F283">
        <v>0</v>
      </c>
      <c r="G283">
        <v>283</v>
      </c>
      <c r="H283">
        <v>282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 t="s">
        <v>24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</row>
    <row r="284" spans="1:21" x14ac:dyDescent="0.25">
      <c r="A284">
        <v>283</v>
      </c>
      <c r="B284" t="s">
        <v>23</v>
      </c>
      <c r="D284">
        <v>1</v>
      </c>
      <c r="E284">
        <v>12</v>
      </c>
      <c r="F284">
        <v>0</v>
      </c>
      <c r="G284">
        <v>284</v>
      </c>
      <c r="H284">
        <v>283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 t="s">
        <v>24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</row>
    <row r="285" spans="1:21" x14ac:dyDescent="0.25">
      <c r="A285">
        <v>284</v>
      </c>
      <c r="B285" t="s">
        <v>23</v>
      </c>
      <c r="D285">
        <v>1</v>
      </c>
      <c r="E285">
        <v>12</v>
      </c>
      <c r="F285">
        <v>0</v>
      </c>
      <c r="G285">
        <v>285</v>
      </c>
      <c r="H285">
        <v>284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 t="s">
        <v>24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</row>
    <row r="286" spans="1:21" x14ac:dyDescent="0.25">
      <c r="A286">
        <v>285</v>
      </c>
      <c r="B286" t="s">
        <v>23</v>
      </c>
      <c r="D286">
        <v>1</v>
      </c>
      <c r="E286">
        <v>12</v>
      </c>
      <c r="F286">
        <v>0</v>
      </c>
      <c r="G286">
        <v>286</v>
      </c>
      <c r="H286">
        <v>285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 t="s">
        <v>24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</row>
    <row r="287" spans="1:21" x14ac:dyDescent="0.25">
      <c r="A287">
        <v>286</v>
      </c>
      <c r="B287" t="s">
        <v>23</v>
      </c>
      <c r="D287">
        <v>1</v>
      </c>
      <c r="E287">
        <v>12</v>
      </c>
      <c r="F287">
        <v>0</v>
      </c>
      <c r="G287">
        <v>287</v>
      </c>
      <c r="H287">
        <v>286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 t="s">
        <v>24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</row>
    <row r="288" spans="1:21" x14ac:dyDescent="0.25">
      <c r="A288">
        <v>287</v>
      </c>
      <c r="B288" t="s">
        <v>23</v>
      </c>
      <c r="D288">
        <v>1</v>
      </c>
      <c r="E288">
        <v>12</v>
      </c>
      <c r="F288">
        <v>0</v>
      </c>
      <c r="G288">
        <v>288</v>
      </c>
      <c r="H288">
        <v>287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 t="s">
        <v>24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</row>
    <row r="289" spans="1:21" x14ac:dyDescent="0.25">
      <c r="A289">
        <v>288</v>
      </c>
      <c r="B289" t="s">
        <v>23</v>
      </c>
      <c r="D289">
        <v>1</v>
      </c>
      <c r="E289">
        <v>12</v>
      </c>
      <c r="F289">
        <v>0</v>
      </c>
      <c r="G289">
        <v>289</v>
      </c>
      <c r="H289">
        <v>288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 t="s">
        <v>24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</row>
    <row r="290" spans="1:21" x14ac:dyDescent="0.25">
      <c r="A290">
        <v>289</v>
      </c>
      <c r="B290" t="s">
        <v>23</v>
      </c>
      <c r="D290">
        <v>1</v>
      </c>
      <c r="E290">
        <v>12</v>
      </c>
      <c r="F290">
        <v>0</v>
      </c>
      <c r="G290">
        <v>290</v>
      </c>
      <c r="H290">
        <v>289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 t="s">
        <v>24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</row>
    <row r="291" spans="1:21" x14ac:dyDescent="0.25">
      <c r="A291">
        <v>290</v>
      </c>
      <c r="B291" t="s">
        <v>23</v>
      </c>
      <c r="D291">
        <v>1</v>
      </c>
      <c r="E291">
        <v>12</v>
      </c>
      <c r="F291">
        <v>0</v>
      </c>
      <c r="G291">
        <v>291</v>
      </c>
      <c r="H291">
        <v>290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 t="s">
        <v>24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</row>
    <row r="292" spans="1:21" x14ac:dyDescent="0.25">
      <c r="A292">
        <v>291</v>
      </c>
      <c r="B292" t="s">
        <v>23</v>
      </c>
      <c r="D292">
        <v>1</v>
      </c>
      <c r="E292">
        <v>12</v>
      </c>
      <c r="F292">
        <v>0</v>
      </c>
      <c r="G292">
        <v>292</v>
      </c>
      <c r="H292">
        <v>291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 t="s">
        <v>24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</row>
    <row r="293" spans="1:21" x14ac:dyDescent="0.25">
      <c r="A293">
        <v>292</v>
      </c>
      <c r="B293" t="s">
        <v>23</v>
      </c>
      <c r="D293">
        <v>1</v>
      </c>
      <c r="E293">
        <v>12</v>
      </c>
      <c r="F293">
        <v>0</v>
      </c>
      <c r="G293">
        <v>293</v>
      </c>
      <c r="H293">
        <v>292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 t="s">
        <v>24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</row>
    <row r="294" spans="1:21" x14ac:dyDescent="0.25">
      <c r="A294">
        <v>293</v>
      </c>
      <c r="B294" t="s">
        <v>23</v>
      </c>
      <c r="D294">
        <v>1</v>
      </c>
      <c r="E294">
        <v>12</v>
      </c>
      <c r="F294">
        <v>0</v>
      </c>
      <c r="G294">
        <v>294</v>
      </c>
      <c r="H294">
        <v>293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 t="s">
        <v>24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</row>
    <row r="295" spans="1:21" x14ac:dyDescent="0.25">
      <c r="A295">
        <v>294</v>
      </c>
      <c r="B295" t="s">
        <v>23</v>
      </c>
      <c r="D295">
        <v>1</v>
      </c>
      <c r="E295">
        <v>12</v>
      </c>
      <c r="F295">
        <v>0</v>
      </c>
      <c r="G295">
        <v>295</v>
      </c>
      <c r="H295">
        <v>294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 t="s">
        <v>24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</row>
    <row r="296" spans="1:21" x14ac:dyDescent="0.25">
      <c r="A296">
        <v>295</v>
      </c>
      <c r="B296" t="s">
        <v>23</v>
      </c>
      <c r="D296">
        <v>1</v>
      </c>
      <c r="E296">
        <v>11</v>
      </c>
      <c r="F296">
        <v>0</v>
      </c>
      <c r="G296">
        <v>296</v>
      </c>
      <c r="H296">
        <v>295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 t="s">
        <v>24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</row>
    <row r="297" spans="1:21" x14ac:dyDescent="0.25">
      <c r="A297">
        <v>296</v>
      </c>
      <c r="B297" t="s">
        <v>23</v>
      </c>
      <c r="D297">
        <v>1</v>
      </c>
      <c r="E297">
        <v>11</v>
      </c>
      <c r="F297">
        <v>0</v>
      </c>
      <c r="G297">
        <v>297</v>
      </c>
      <c r="H297">
        <v>296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 t="s">
        <v>24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</row>
    <row r="298" spans="1:21" x14ac:dyDescent="0.25">
      <c r="A298">
        <v>297</v>
      </c>
      <c r="B298" t="s">
        <v>23</v>
      </c>
      <c r="D298">
        <v>1</v>
      </c>
      <c r="E298">
        <v>11</v>
      </c>
      <c r="F298">
        <v>0</v>
      </c>
      <c r="G298">
        <v>298</v>
      </c>
      <c r="H298">
        <v>297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 t="s">
        <v>24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</row>
    <row r="299" spans="1:21" x14ac:dyDescent="0.25">
      <c r="A299">
        <v>298</v>
      </c>
      <c r="B299" t="s">
        <v>23</v>
      </c>
      <c r="D299">
        <v>1</v>
      </c>
      <c r="E299">
        <v>11</v>
      </c>
      <c r="F299">
        <v>0</v>
      </c>
      <c r="G299">
        <v>299</v>
      </c>
      <c r="H299">
        <v>298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 t="s">
        <v>24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</row>
    <row r="300" spans="1:21" x14ac:dyDescent="0.25">
      <c r="A300">
        <v>299</v>
      </c>
      <c r="B300" t="s">
        <v>23</v>
      </c>
      <c r="D300">
        <v>1</v>
      </c>
      <c r="E300">
        <v>11</v>
      </c>
      <c r="F300">
        <v>0</v>
      </c>
      <c r="G300">
        <v>300</v>
      </c>
      <c r="H300">
        <v>299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 t="s">
        <v>24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</row>
    <row r="301" spans="1:21" x14ac:dyDescent="0.25">
      <c r="A301">
        <v>300</v>
      </c>
      <c r="B301" t="s">
        <v>23</v>
      </c>
      <c r="D301">
        <v>1</v>
      </c>
      <c r="E301">
        <v>11</v>
      </c>
      <c r="F301">
        <v>0</v>
      </c>
      <c r="G301">
        <v>301</v>
      </c>
      <c r="H301">
        <v>300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 t="s">
        <v>24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</row>
    <row r="302" spans="1:21" x14ac:dyDescent="0.25">
      <c r="A302">
        <v>301</v>
      </c>
      <c r="B302" t="s">
        <v>23</v>
      </c>
      <c r="D302">
        <v>1</v>
      </c>
      <c r="E302">
        <v>11</v>
      </c>
      <c r="F302">
        <v>0</v>
      </c>
      <c r="G302">
        <v>302</v>
      </c>
      <c r="H302">
        <v>301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 t="s">
        <v>24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</row>
    <row r="303" spans="1:21" x14ac:dyDescent="0.25">
      <c r="A303">
        <v>302</v>
      </c>
      <c r="B303" t="s">
        <v>23</v>
      </c>
      <c r="D303">
        <v>1</v>
      </c>
      <c r="E303">
        <v>11</v>
      </c>
      <c r="F303">
        <v>0</v>
      </c>
      <c r="G303">
        <v>303</v>
      </c>
      <c r="H303">
        <v>302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 t="s">
        <v>24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</row>
    <row r="304" spans="1:21" x14ac:dyDescent="0.25">
      <c r="A304">
        <v>303</v>
      </c>
      <c r="B304" t="s">
        <v>23</v>
      </c>
      <c r="D304">
        <v>1</v>
      </c>
      <c r="E304">
        <v>11</v>
      </c>
      <c r="F304">
        <v>0</v>
      </c>
      <c r="G304">
        <v>304</v>
      </c>
      <c r="H304">
        <v>303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 t="s">
        <v>24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</row>
    <row r="305" spans="1:21" x14ac:dyDescent="0.25">
      <c r="A305">
        <v>304</v>
      </c>
      <c r="B305" t="s">
        <v>23</v>
      </c>
      <c r="D305">
        <v>1</v>
      </c>
      <c r="E305">
        <v>11</v>
      </c>
      <c r="F305">
        <v>0</v>
      </c>
      <c r="G305">
        <v>305</v>
      </c>
      <c r="H305">
        <v>304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 t="s">
        <v>24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</row>
    <row r="306" spans="1:21" x14ac:dyDescent="0.25">
      <c r="A306">
        <v>305</v>
      </c>
      <c r="B306" t="s">
        <v>23</v>
      </c>
      <c r="D306">
        <v>1</v>
      </c>
      <c r="E306">
        <v>11</v>
      </c>
      <c r="F306">
        <v>0</v>
      </c>
      <c r="G306">
        <v>306</v>
      </c>
      <c r="H306">
        <v>305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 t="s">
        <v>24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</row>
    <row r="307" spans="1:21" x14ac:dyDescent="0.25">
      <c r="A307">
        <v>306</v>
      </c>
      <c r="B307" t="s">
        <v>23</v>
      </c>
      <c r="D307">
        <v>1</v>
      </c>
      <c r="E307">
        <v>11</v>
      </c>
      <c r="F307">
        <v>0</v>
      </c>
      <c r="G307">
        <v>307</v>
      </c>
      <c r="H307">
        <v>306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 t="s">
        <v>24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</row>
    <row r="308" spans="1:21" x14ac:dyDescent="0.25">
      <c r="A308">
        <v>307</v>
      </c>
      <c r="B308" t="s">
        <v>23</v>
      </c>
      <c r="D308">
        <v>1</v>
      </c>
      <c r="E308">
        <v>11</v>
      </c>
      <c r="F308">
        <v>0</v>
      </c>
      <c r="G308">
        <v>308</v>
      </c>
      <c r="H308">
        <v>307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 t="s">
        <v>24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</row>
    <row r="309" spans="1:21" x14ac:dyDescent="0.25">
      <c r="A309">
        <v>308</v>
      </c>
      <c r="B309" t="s">
        <v>23</v>
      </c>
      <c r="D309">
        <v>1</v>
      </c>
      <c r="E309">
        <v>10</v>
      </c>
      <c r="F309">
        <v>0</v>
      </c>
      <c r="G309">
        <v>309</v>
      </c>
      <c r="H309">
        <v>308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 t="s">
        <v>24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</row>
    <row r="310" spans="1:21" x14ac:dyDescent="0.25">
      <c r="A310">
        <v>309</v>
      </c>
      <c r="B310" t="s">
        <v>23</v>
      </c>
      <c r="D310">
        <v>1</v>
      </c>
      <c r="E310">
        <v>10</v>
      </c>
      <c r="F310">
        <v>0</v>
      </c>
      <c r="G310">
        <v>310</v>
      </c>
      <c r="H310">
        <v>309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 t="s">
        <v>24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</row>
    <row r="311" spans="1:21" x14ac:dyDescent="0.25">
      <c r="A311">
        <v>310</v>
      </c>
      <c r="B311" t="s">
        <v>23</v>
      </c>
      <c r="D311">
        <v>1</v>
      </c>
      <c r="E311">
        <v>10</v>
      </c>
      <c r="F311">
        <v>0</v>
      </c>
      <c r="G311">
        <v>311</v>
      </c>
      <c r="H311">
        <v>310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 t="s">
        <v>24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</row>
    <row r="312" spans="1:21" x14ac:dyDescent="0.25">
      <c r="A312">
        <v>311</v>
      </c>
      <c r="B312" t="s">
        <v>23</v>
      </c>
      <c r="D312">
        <v>1</v>
      </c>
      <c r="E312">
        <v>10</v>
      </c>
      <c r="F312">
        <v>0</v>
      </c>
      <c r="G312">
        <v>312</v>
      </c>
      <c r="H312">
        <v>311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 t="s">
        <v>24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</row>
    <row r="313" spans="1:21" x14ac:dyDescent="0.25">
      <c r="A313">
        <v>312</v>
      </c>
      <c r="B313" t="s">
        <v>23</v>
      </c>
      <c r="D313">
        <v>1</v>
      </c>
      <c r="E313">
        <v>10</v>
      </c>
      <c r="F313">
        <v>0</v>
      </c>
      <c r="G313">
        <v>313</v>
      </c>
      <c r="H313">
        <v>312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 t="s">
        <v>24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</row>
    <row r="314" spans="1:21" x14ac:dyDescent="0.25">
      <c r="A314">
        <v>313</v>
      </c>
      <c r="B314" t="s">
        <v>23</v>
      </c>
      <c r="D314">
        <v>1</v>
      </c>
      <c r="E314">
        <v>10</v>
      </c>
      <c r="F314">
        <v>0</v>
      </c>
      <c r="G314">
        <v>314</v>
      </c>
      <c r="H314">
        <v>313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 t="s">
        <v>24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</row>
    <row r="315" spans="1:21" x14ac:dyDescent="0.25">
      <c r="A315">
        <v>314</v>
      </c>
      <c r="B315" t="s">
        <v>23</v>
      </c>
      <c r="D315">
        <v>1</v>
      </c>
      <c r="E315">
        <v>10</v>
      </c>
      <c r="F315">
        <v>0</v>
      </c>
      <c r="G315">
        <v>315</v>
      </c>
      <c r="H315">
        <v>314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 t="s">
        <v>24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</row>
    <row r="316" spans="1:21" x14ac:dyDescent="0.25">
      <c r="A316">
        <v>315</v>
      </c>
      <c r="B316" t="s">
        <v>23</v>
      </c>
      <c r="D316">
        <v>1</v>
      </c>
      <c r="E316">
        <v>10</v>
      </c>
      <c r="F316">
        <v>0</v>
      </c>
      <c r="G316">
        <v>316</v>
      </c>
      <c r="H316">
        <v>315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 t="s">
        <v>24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</row>
    <row r="317" spans="1:21" x14ac:dyDescent="0.25">
      <c r="A317">
        <v>316</v>
      </c>
      <c r="B317" t="s">
        <v>23</v>
      </c>
      <c r="D317">
        <v>1</v>
      </c>
      <c r="E317">
        <v>10</v>
      </c>
      <c r="F317">
        <v>0</v>
      </c>
      <c r="G317">
        <v>317</v>
      </c>
      <c r="H317">
        <v>316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 t="s">
        <v>24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</row>
    <row r="318" spans="1:21" x14ac:dyDescent="0.25">
      <c r="A318">
        <v>317</v>
      </c>
      <c r="B318" t="s">
        <v>23</v>
      </c>
      <c r="D318">
        <v>1</v>
      </c>
      <c r="E318">
        <v>10</v>
      </c>
      <c r="F318">
        <v>0</v>
      </c>
      <c r="G318">
        <v>318</v>
      </c>
      <c r="H318">
        <v>317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 t="s">
        <v>24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</row>
    <row r="319" spans="1:21" x14ac:dyDescent="0.25">
      <c r="A319">
        <v>318</v>
      </c>
      <c r="B319" t="s">
        <v>23</v>
      </c>
      <c r="D319">
        <v>1</v>
      </c>
      <c r="E319">
        <v>10</v>
      </c>
      <c r="F319">
        <v>0</v>
      </c>
      <c r="G319">
        <v>319</v>
      </c>
      <c r="H319">
        <v>318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 t="s">
        <v>24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</row>
    <row r="320" spans="1:21" x14ac:dyDescent="0.25">
      <c r="A320">
        <v>319</v>
      </c>
      <c r="B320" t="s">
        <v>23</v>
      </c>
      <c r="D320">
        <v>1</v>
      </c>
      <c r="E320">
        <v>10</v>
      </c>
      <c r="F320">
        <v>0</v>
      </c>
      <c r="G320">
        <v>320</v>
      </c>
      <c r="H320">
        <v>319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 t="s">
        <v>24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</row>
    <row r="321" spans="1:21" x14ac:dyDescent="0.25">
      <c r="A321">
        <v>320</v>
      </c>
      <c r="B321" t="s">
        <v>23</v>
      </c>
      <c r="D321">
        <v>1</v>
      </c>
      <c r="E321">
        <v>10</v>
      </c>
      <c r="F321">
        <v>0</v>
      </c>
      <c r="G321">
        <v>321</v>
      </c>
      <c r="H321">
        <v>320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 t="s">
        <v>24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</row>
    <row r="322" spans="1:21" x14ac:dyDescent="0.25">
      <c r="A322">
        <v>321</v>
      </c>
      <c r="B322" t="s">
        <v>23</v>
      </c>
      <c r="D322">
        <v>1</v>
      </c>
      <c r="E322">
        <v>9</v>
      </c>
      <c r="F322">
        <v>0</v>
      </c>
      <c r="G322">
        <v>322</v>
      </c>
      <c r="H322">
        <v>321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 t="s">
        <v>24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</row>
    <row r="323" spans="1:21" x14ac:dyDescent="0.25">
      <c r="A323">
        <v>322</v>
      </c>
      <c r="B323" t="s">
        <v>23</v>
      </c>
      <c r="D323">
        <v>1</v>
      </c>
      <c r="E323">
        <v>9</v>
      </c>
      <c r="F323">
        <v>0</v>
      </c>
      <c r="G323">
        <v>323</v>
      </c>
      <c r="H323">
        <v>322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 t="s">
        <v>24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</row>
    <row r="324" spans="1:21" x14ac:dyDescent="0.25">
      <c r="A324">
        <v>323</v>
      </c>
      <c r="B324" t="s">
        <v>23</v>
      </c>
      <c r="D324">
        <v>1</v>
      </c>
      <c r="E324">
        <v>9</v>
      </c>
      <c r="F324">
        <v>0</v>
      </c>
      <c r="G324">
        <v>324</v>
      </c>
      <c r="H324">
        <v>323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 t="s">
        <v>24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</row>
    <row r="325" spans="1:21" x14ac:dyDescent="0.25">
      <c r="A325">
        <v>324</v>
      </c>
      <c r="B325" t="s">
        <v>23</v>
      </c>
      <c r="D325">
        <v>1</v>
      </c>
      <c r="E325">
        <v>9</v>
      </c>
      <c r="F325">
        <v>0</v>
      </c>
      <c r="G325">
        <v>325</v>
      </c>
      <c r="H325">
        <v>324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 t="s">
        <v>24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</row>
    <row r="326" spans="1:21" x14ac:dyDescent="0.25">
      <c r="A326">
        <v>325</v>
      </c>
      <c r="B326" t="s">
        <v>23</v>
      </c>
      <c r="D326">
        <v>1</v>
      </c>
      <c r="E326">
        <v>9</v>
      </c>
      <c r="F326">
        <v>0</v>
      </c>
      <c r="G326">
        <v>326</v>
      </c>
      <c r="H326">
        <v>325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 t="s">
        <v>24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</row>
    <row r="327" spans="1:21" x14ac:dyDescent="0.25">
      <c r="A327">
        <v>326</v>
      </c>
      <c r="B327" t="s">
        <v>23</v>
      </c>
      <c r="D327">
        <v>1</v>
      </c>
      <c r="E327">
        <v>9</v>
      </c>
      <c r="F327">
        <v>0</v>
      </c>
      <c r="G327">
        <v>327</v>
      </c>
      <c r="H327">
        <v>326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 t="s">
        <v>24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</row>
    <row r="328" spans="1:21" x14ac:dyDescent="0.25">
      <c r="A328">
        <v>327</v>
      </c>
      <c r="B328" t="s">
        <v>23</v>
      </c>
      <c r="D328">
        <v>1</v>
      </c>
      <c r="E328">
        <v>9</v>
      </c>
      <c r="F328">
        <v>0</v>
      </c>
      <c r="G328">
        <v>328</v>
      </c>
      <c r="H328">
        <v>327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 t="s">
        <v>24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</row>
    <row r="329" spans="1:21" x14ac:dyDescent="0.25">
      <c r="A329">
        <v>328</v>
      </c>
      <c r="B329" t="s">
        <v>23</v>
      </c>
      <c r="D329">
        <v>1</v>
      </c>
      <c r="E329">
        <v>9</v>
      </c>
      <c r="F329">
        <v>0</v>
      </c>
      <c r="G329">
        <v>329</v>
      </c>
      <c r="H329">
        <v>328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 t="s">
        <v>24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</row>
    <row r="330" spans="1:21" x14ac:dyDescent="0.25">
      <c r="A330">
        <v>329</v>
      </c>
      <c r="B330" t="s">
        <v>23</v>
      </c>
      <c r="D330">
        <v>1</v>
      </c>
      <c r="E330">
        <v>9</v>
      </c>
      <c r="F330">
        <v>0</v>
      </c>
      <c r="G330">
        <v>330</v>
      </c>
      <c r="H330">
        <v>329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 t="s">
        <v>24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</row>
    <row r="331" spans="1:21" x14ac:dyDescent="0.25">
      <c r="A331">
        <v>330</v>
      </c>
      <c r="B331" t="s">
        <v>23</v>
      </c>
      <c r="D331">
        <v>1</v>
      </c>
      <c r="E331">
        <v>9</v>
      </c>
      <c r="F331">
        <v>0</v>
      </c>
      <c r="G331">
        <v>331</v>
      </c>
      <c r="H331">
        <v>330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 t="s">
        <v>24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</row>
    <row r="332" spans="1:21" x14ac:dyDescent="0.25">
      <c r="A332">
        <v>331</v>
      </c>
      <c r="B332" t="s">
        <v>23</v>
      </c>
      <c r="D332">
        <v>1</v>
      </c>
      <c r="E332">
        <v>9</v>
      </c>
      <c r="F332">
        <v>0</v>
      </c>
      <c r="G332">
        <v>332</v>
      </c>
      <c r="H332">
        <v>331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 t="s">
        <v>24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</row>
    <row r="333" spans="1:21" x14ac:dyDescent="0.25">
      <c r="A333">
        <v>332</v>
      </c>
      <c r="B333" t="s">
        <v>23</v>
      </c>
      <c r="D333">
        <v>1</v>
      </c>
      <c r="E333">
        <v>9</v>
      </c>
      <c r="F333">
        <v>0</v>
      </c>
      <c r="G333">
        <v>333</v>
      </c>
      <c r="H333">
        <v>332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 t="s">
        <v>24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</row>
    <row r="334" spans="1:21" x14ac:dyDescent="0.25">
      <c r="A334">
        <v>333</v>
      </c>
      <c r="B334" t="s">
        <v>23</v>
      </c>
      <c r="D334">
        <v>1</v>
      </c>
      <c r="E334">
        <v>9</v>
      </c>
      <c r="F334">
        <v>0</v>
      </c>
      <c r="G334">
        <v>334</v>
      </c>
      <c r="H334">
        <v>333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 t="s">
        <v>24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</row>
    <row r="335" spans="1:21" x14ac:dyDescent="0.25">
      <c r="A335">
        <v>334</v>
      </c>
      <c r="B335" t="s">
        <v>23</v>
      </c>
      <c r="D335">
        <v>1</v>
      </c>
      <c r="E335">
        <v>8</v>
      </c>
      <c r="F335">
        <v>0</v>
      </c>
      <c r="G335">
        <v>335</v>
      </c>
      <c r="H335">
        <v>334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 t="s">
        <v>24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</row>
    <row r="336" spans="1:21" x14ac:dyDescent="0.25">
      <c r="A336">
        <v>335</v>
      </c>
      <c r="B336" t="s">
        <v>23</v>
      </c>
      <c r="D336">
        <v>1</v>
      </c>
      <c r="E336">
        <v>8</v>
      </c>
      <c r="F336">
        <v>0</v>
      </c>
      <c r="G336">
        <v>336</v>
      </c>
      <c r="H336">
        <v>335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 t="s">
        <v>24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</row>
    <row r="337" spans="1:21" x14ac:dyDescent="0.25">
      <c r="A337">
        <v>336</v>
      </c>
      <c r="B337" t="s">
        <v>23</v>
      </c>
      <c r="D337">
        <v>1</v>
      </c>
      <c r="E337">
        <v>8</v>
      </c>
      <c r="F337">
        <v>0</v>
      </c>
      <c r="G337">
        <v>337</v>
      </c>
      <c r="H337">
        <v>336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 t="s">
        <v>24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</row>
    <row r="338" spans="1:21" x14ac:dyDescent="0.25">
      <c r="A338">
        <v>337</v>
      </c>
      <c r="B338" t="s">
        <v>23</v>
      </c>
      <c r="D338">
        <v>1</v>
      </c>
      <c r="E338">
        <v>8</v>
      </c>
      <c r="F338">
        <v>0</v>
      </c>
      <c r="G338">
        <v>338</v>
      </c>
      <c r="H338">
        <v>337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 t="s">
        <v>24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</row>
    <row r="339" spans="1:21" x14ac:dyDescent="0.25">
      <c r="A339">
        <v>338</v>
      </c>
      <c r="B339" t="s">
        <v>23</v>
      </c>
      <c r="D339">
        <v>1</v>
      </c>
      <c r="E339">
        <v>8</v>
      </c>
      <c r="F339">
        <v>0</v>
      </c>
      <c r="G339">
        <v>339</v>
      </c>
      <c r="H339">
        <v>338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 t="s">
        <v>24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</row>
    <row r="340" spans="1:21" x14ac:dyDescent="0.25">
      <c r="A340">
        <v>339</v>
      </c>
      <c r="B340" t="s">
        <v>23</v>
      </c>
      <c r="D340">
        <v>1</v>
      </c>
      <c r="E340">
        <v>8</v>
      </c>
      <c r="F340">
        <v>0</v>
      </c>
      <c r="G340">
        <v>340</v>
      </c>
      <c r="H340">
        <v>339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 t="s">
        <v>24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</row>
    <row r="341" spans="1:21" x14ac:dyDescent="0.25">
      <c r="A341">
        <v>340</v>
      </c>
      <c r="B341" t="s">
        <v>23</v>
      </c>
      <c r="D341">
        <v>1</v>
      </c>
      <c r="E341">
        <v>8</v>
      </c>
      <c r="F341">
        <v>0</v>
      </c>
      <c r="G341">
        <v>341</v>
      </c>
      <c r="H341">
        <v>340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 t="s">
        <v>24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</row>
    <row r="342" spans="1:21" x14ac:dyDescent="0.25">
      <c r="A342">
        <v>341</v>
      </c>
      <c r="B342" t="s">
        <v>23</v>
      </c>
      <c r="D342">
        <v>1</v>
      </c>
      <c r="E342">
        <v>8</v>
      </c>
      <c r="F342">
        <v>0</v>
      </c>
      <c r="G342">
        <v>342</v>
      </c>
      <c r="H342">
        <v>341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 t="s">
        <v>24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</row>
    <row r="343" spans="1:21" x14ac:dyDescent="0.25">
      <c r="A343">
        <v>342</v>
      </c>
      <c r="B343" t="s">
        <v>23</v>
      </c>
      <c r="D343">
        <v>1</v>
      </c>
      <c r="E343">
        <v>8</v>
      </c>
      <c r="F343">
        <v>0</v>
      </c>
      <c r="G343">
        <v>343</v>
      </c>
      <c r="H343">
        <v>342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 t="s">
        <v>24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</row>
    <row r="344" spans="1:21" x14ac:dyDescent="0.25">
      <c r="A344">
        <v>343</v>
      </c>
      <c r="B344" t="s">
        <v>23</v>
      </c>
      <c r="D344">
        <v>1</v>
      </c>
      <c r="E344">
        <v>8</v>
      </c>
      <c r="F344">
        <v>0</v>
      </c>
      <c r="G344">
        <v>344</v>
      </c>
      <c r="H344">
        <v>343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 t="s">
        <v>24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</row>
    <row r="345" spans="1:21" x14ac:dyDescent="0.25">
      <c r="A345">
        <v>344</v>
      </c>
      <c r="B345" t="s">
        <v>23</v>
      </c>
      <c r="D345">
        <v>1</v>
      </c>
      <c r="E345">
        <v>8</v>
      </c>
      <c r="F345">
        <v>0</v>
      </c>
      <c r="G345">
        <v>345</v>
      </c>
      <c r="H345">
        <v>344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 t="s">
        <v>24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</row>
    <row r="346" spans="1:21" x14ac:dyDescent="0.25">
      <c r="A346">
        <v>345</v>
      </c>
      <c r="B346" t="s">
        <v>23</v>
      </c>
      <c r="D346">
        <v>1</v>
      </c>
      <c r="E346">
        <v>8</v>
      </c>
      <c r="F346">
        <v>0</v>
      </c>
      <c r="G346">
        <v>346</v>
      </c>
      <c r="H346">
        <v>345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 t="s">
        <v>24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</row>
    <row r="347" spans="1:21" x14ac:dyDescent="0.25">
      <c r="A347">
        <v>346</v>
      </c>
      <c r="B347" t="s">
        <v>23</v>
      </c>
      <c r="D347">
        <v>1</v>
      </c>
      <c r="E347">
        <v>8</v>
      </c>
      <c r="F347">
        <v>0</v>
      </c>
      <c r="G347">
        <v>347</v>
      </c>
      <c r="H347">
        <v>346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 t="s">
        <v>24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</row>
    <row r="348" spans="1:21" x14ac:dyDescent="0.25">
      <c r="A348">
        <v>347</v>
      </c>
      <c r="B348" t="s">
        <v>23</v>
      </c>
      <c r="D348">
        <v>1</v>
      </c>
      <c r="E348">
        <v>7</v>
      </c>
      <c r="F348">
        <v>0</v>
      </c>
      <c r="G348">
        <v>348</v>
      </c>
      <c r="H348">
        <v>347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 t="s">
        <v>24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</row>
    <row r="349" spans="1:21" x14ac:dyDescent="0.25">
      <c r="A349">
        <v>348</v>
      </c>
      <c r="B349" t="s">
        <v>23</v>
      </c>
      <c r="D349">
        <v>1</v>
      </c>
      <c r="E349">
        <v>7</v>
      </c>
      <c r="F349">
        <v>0</v>
      </c>
      <c r="G349">
        <v>349</v>
      </c>
      <c r="H349">
        <v>348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 t="s">
        <v>24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</row>
    <row r="350" spans="1:21" x14ac:dyDescent="0.25">
      <c r="A350">
        <v>349</v>
      </c>
      <c r="B350" t="s">
        <v>23</v>
      </c>
      <c r="D350">
        <v>1</v>
      </c>
      <c r="E350">
        <v>7</v>
      </c>
      <c r="F350">
        <v>0</v>
      </c>
      <c r="G350">
        <v>350</v>
      </c>
      <c r="H350">
        <v>349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 t="s">
        <v>24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</row>
    <row r="351" spans="1:21" x14ac:dyDescent="0.25">
      <c r="A351">
        <v>350</v>
      </c>
      <c r="B351" t="s">
        <v>23</v>
      </c>
      <c r="D351">
        <v>1</v>
      </c>
      <c r="E351">
        <v>7</v>
      </c>
      <c r="F351">
        <v>0</v>
      </c>
      <c r="G351">
        <v>351</v>
      </c>
      <c r="H351">
        <v>350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 t="s">
        <v>24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</row>
    <row r="352" spans="1:21" x14ac:dyDescent="0.25">
      <c r="A352">
        <v>351</v>
      </c>
      <c r="B352" t="s">
        <v>23</v>
      </c>
      <c r="D352">
        <v>1</v>
      </c>
      <c r="E352">
        <v>7</v>
      </c>
      <c r="F352">
        <v>0</v>
      </c>
      <c r="G352">
        <v>352</v>
      </c>
      <c r="H352">
        <v>351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 t="s">
        <v>24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</row>
    <row r="353" spans="1:21" x14ac:dyDescent="0.25">
      <c r="A353">
        <v>352</v>
      </c>
      <c r="B353" t="s">
        <v>23</v>
      </c>
      <c r="D353">
        <v>1</v>
      </c>
      <c r="E353">
        <v>7</v>
      </c>
      <c r="F353">
        <v>0</v>
      </c>
      <c r="G353">
        <v>353</v>
      </c>
      <c r="H353">
        <v>352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 t="s">
        <v>24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</row>
    <row r="354" spans="1:21" x14ac:dyDescent="0.25">
      <c r="A354">
        <v>353</v>
      </c>
      <c r="B354" t="s">
        <v>23</v>
      </c>
      <c r="D354">
        <v>1</v>
      </c>
      <c r="E354">
        <v>7</v>
      </c>
      <c r="F354">
        <v>0</v>
      </c>
      <c r="G354">
        <v>354</v>
      </c>
      <c r="H354">
        <v>353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 t="s">
        <v>24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</row>
    <row r="355" spans="1:21" x14ac:dyDescent="0.25">
      <c r="A355">
        <v>354</v>
      </c>
      <c r="B355" t="s">
        <v>23</v>
      </c>
      <c r="D355">
        <v>1</v>
      </c>
      <c r="E355">
        <v>7</v>
      </c>
      <c r="F355">
        <v>0</v>
      </c>
      <c r="G355">
        <v>355</v>
      </c>
      <c r="H355">
        <v>354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 t="s">
        <v>24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</row>
    <row r="356" spans="1:21" x14ac:dyDescent="0.25">
      <c r="A356">
        <v>355</v>
      </c>
      <c r="B356" t="s">
        <v>23</v>
      </c>
      <c r="D356">
        <v>1</v>
      </c>
      <c r="E356">
        <v>7</v>
      </c>
      <c r="F356">
        <v>0</v>
      </c>
      <c r="G356">
        <v>356</v>
      </c>
      <c r="H356">
        <v>355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 t="s">
        <v>24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</row>
    <row r="357" spans="1:21" x14ac:dyDescent="0.25">
      <c r="A357">
        <v>356</v>
      </c>
      <c r="B357" t="s">
        <v>23</v>
      </c>
      <c r="D357">
        <v>1</v>
      </c>
      <c r="E357">
        <v>7</v>
      </c>
      <c r="F357">
        <v>0</v>
      </c>
      <c r="G357">
        <v>357</v>
      </c>
      <c r="H357">
        <v>356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 t="s">
        <v>24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</row>
    <row r="358" spans="1:21" x14ac:dyDescent="0.25">
      <c r="A358">
        <v>357</v>
      </c>
      <c r="B358" t="s">
        <v>23</v>
      </c>
      <c r="D358">
        <v>1</v>
      </c>
      <c r="E358">
        <v>7</v>
      </c>
      <c r="F358">
        <v>0</v>
      </c>
      <c r="G358">
        <v>358</v>
      </c>
      <c r="H358">
        <v>357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 t="s">
        <v>24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</row>
    <row r="359" spans="1:21" x14ac:dyDescent="0.25">
      <c r="A359">
        <v>358</v>
      </c>
      <c r="B359" t="s">
        <v>23</v>
      </c>
      <c r="D359">
        <v>1</v>
      </c>
      <c r="E359">
        <v>7</v>
      </c>
      <c r="F359">
        <v>0</v>
      </c>
      <c r="G359">
        <v>359</v>
      </c>
      <c r="H359">
        <v>358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 t="s">
        <v>24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</row>
    <row r="360" spans="1:21" x14ac:dyDescent="0.25">
      <c r="A360">
        <v>359</v>
      </c>
      <c r="B360" t="s">
        <v>23</v>
      </c>
      <c r="D360">
        <v>1</v>
      </c>
      <c r="E360">
        <v>7</v>
      </c>
      <c r="F360">
        <v>0</v>
      </c>
      <c r="G360">
        <v>360</v>
      </c>
      <c r="H360">
        <v>359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 t="s">
        <v>24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</row>
    <row r="361" spans="1:21" x14ac:dyDescent="0.25">
      <c r="A361">
        <v>360</v>
      </c>
      <c r="B361" t="s">
        <v>23</v>
      </c>
      <c r="D361">
        <v>1</v>
      </c>
      <c r="E361">
        <v>6</v>
      </c>
      <c r="F361">
        <v>0</v>
      </c>
      <c r="G361">
        <v>361</v>
      </c>
      <c r="H361">
        <v>360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 t="s">
        <v>24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</row>
    <row r="362" spans="1:21" x14ac:dyDescent="0.25">
      <c r="A362">
        <v>361</v>
      </c>
      <c r="B362" t="s">
        <v>23</v>
      </c>
      <c r="D362">
        <v>1</v>
      </c>
      <c r="E362">
        <v>6</v>
      </c>
      <c r="F362">
        <v>0</v>
      </c>
      <c r="G362">
        <v>362</v>
      </c>
      <c r="H362">
        <v>361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 t="s">
        <v>24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</row>
    <row r="363" spans="1:21" x14ac:dyDescent="0.25">
      <c r="A363">
        <v>362</v>
      </c>
      <c r="B363" t="s">
        <v>23</v>
      </c>
      <c r="D363">
        <v>1</v>
      </c>
      <c r="E363">
        <v>6</v>
      </c>
      <c r="F363">
        <v>0</v>
      </c>
      <c r="G363">
        <v>363</v>
      </c>
      <c r="H363">
        <v>362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 t="s">
        <v>24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</row>
    <row r="364" spans="1:21" x14ac:dyDescent="0.25">
      <c r="A364">
        <v>363</v>
      </c>
      <c r="B364" t="s">
        <v>23</v>
      </c>
      <c r="D364">
        <v>1</v>
      </c>
      <c r="E364">
        <v>6</v>
      </c>
      <c r="F364">
        <v>0</v>
      </c>
      <c r="G364">
        <v>364</v>
      </c>
      <c r="H364">
        <v>363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 t="s">
        <v>24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</row>
    <row r="365" spans="1:21" x14ac:dyDescent="0.25">
      <c r="A365">
        <v>364</v>
      </c>
      <c r="B365" t="s">
        <v>23</v>
      </c>
      <c r="D365">
        <v>1</v>
      </c>
      <c r="E365">
        <v>6</v>
      </c>
      <c r="F365">
        <v>0</v>
      </c>
      <c r="G365">
        <v>365</v>
      </c>
      <c r="H365">
        <v>364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 t="s">
        <v>24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</row>
    <row r="366" spans="1:21" x14ac:dyDescent="0.25">
      <c r="A366">
        <v>365</v>
      </c>
      <c r="B366" t="s">
        <v>23</v>
      </c>
      <c r="D366">
        <v>1</v>
      </c>
      <c r="E366">
        <v>6</v>
      </c>
      <c r="F366">
        <v>0</v>
      </c>
      <c r="G366">
        <v>366</v>
      </c>
      <c r="H366">
        <v>365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 t="s">
        <v>24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</row>
    <row r="367" spans="1:21" x14ac:dyDescent="0.25">
      <c r="A367">
        <v>366</v>
      </c>
      <c r="B367" t="s">
        <v>23</v>
      </c>
      <c r="D367">
        <v>1</v>
      </c>
      <c r="E367">
        <v>6</v>
      </c>
      <c r="F367">
        <v>0</v>
      </c>
      <c r="G367">
        <v>367</v>
      </c>
      <c r="H367">
        <v>366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 t="s">
        <v>24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</row>
    <row r="368" spans="1:21" x14ac:dyDescent="0.25">
      <c r="A368">
        <v>367</v>
      </c>
      <c r="B368" t="s">
        <v>23</v>
      </c>
      <c r="D368">
        <v>1</v>
      </c>
      <c r="E368">
        <v>6</v>
      </c>
      <c r="F368">
        <v>0</v>
      </c>
      <c r="G368">
        <v>368</v>
      </c>
      <c r="H368">
        <v>367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 t="s">
        <v>24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</row>
    <row r="369" spans="1:21" x14ac:dyDescent="0.25">
      <c r="A369">
        <v>368</v>
      </c>
      <c r="B369" t="s">
        <v>23</v>
      </c>
      <c r="D369">
        <v>1</v>
      </c>
      <c r="E369">
        <v>6</v>
      </c>
      <c r="F369">
        <v>0</v>
      </c>
      <c r="G369">
        <v>369</v>
      </c>
      <c r="H369">
        <v>368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 t="s">
        <v>24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</row>
    <row r="370" spans="1:21" x14ac:dyDescent="0.25">
      <c r="A370">
        <v>369</v>
      </c>
      <c r="B370" t="s">
        <v>23</v>
      </c>
      <c r="D370">
        <v>1</v>
      </c>
      <c r="E370">
        <v>6</v>
      </c>
      <c r="F370">
        <v>0</v>
      </c>
      <c r="G370">
        <v>370</v>
      </c>
      <c r="H370">
        <v>369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 t="s">
        <v>24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</row>
    <row r="371" spans="1:21" x14ac:dyDescent="0.25">
      <c r="A371">
        <v>370</v>
      </c>
      <c r="B371" t="s">
        <v>23</v>
      </c>
      <c r="D371">
        <v>1</v>
      </c>
      <c r="E371">
        <v>6</v>
      </c>
      <c r="F371">
        <v>0</v>
      </c>
      <c r="G371">
        <v>371</v>
      </c>
      <c r="H371">
        <v>370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 t="s">
        <v>24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</row>
    <row r="372" spans="1:21" x14ac:dyDescent="0.25">
      <c r="A372">
        <v>371</v>
      </c>
      <c r="B372" t="s">
        <v>23</v>
      </c>
      <c r="D372">
        <v>1</v>
      </c>
      <c r="E372">
        <v>6</v>
      </c>
      <c r="F372">
        <v>0</v>
      </c>
      <c r="G372">
        <v>372</v>
      </c>
      <c r="H372">
        <v>371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 t="s">
        <v>24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</row>
    <row r="373" spans="1:21" x14ac:dyDescent="0.25">
      <c r="A373">
        <v>372</v>
      </c>
      <c r="B373" t="s">
        <v>23</v>
      </c>
      <c r="D373">
        <v>1</v>
      </c>
      <c r="E373">
        <v>6</v>
      </c>
      <c r="F373">
        <v>0</v>
      </c>
      <c r="G373">
        <v>373</v>
      </c>
      <c r="H373">
        <v>372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 t="s">
        <v>24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</row>
    <row r="374" spans="1:21" x14ac:dyDescent="0.25">
      <c r="A374">
        <v>373</v>
      </c>
      <c r="B374" t="s">
        <v>23</v>
      </c>
      <c r="D374">
        <v>1</v>
      </c>
      <c r="E374">
        <v>5</v>
      </c>
      <c r="F374">
        <v>0</v>
      </c>
      <c r="G374">
        <v>374</v>
      </c>
      <c r="H374">
        <v>373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 t="s">
        <v>24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</row>
    <row r="375" spans="1:21" x14ac:dyDescent="0.25">
      <c r="A375">
        <v>374</v>
      </c>
      <c r="B375" t="s">
        <v>23</v>
      </c>
      <c r="D375">
        <v>1</v>
      </c>
      <c r="E375">
        <v>5</v>
      </c>
      <c r="F375">
        <v>0</v>
      </c>
      <c r="G375">
        <v>375</v>
      </c>
      <c r="H375">
        <v>374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 t="s">
        <v>24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</row>
    <row r="376" spans="1:21" x14ac:dyDescent="0.25">
      <c r="A376">
        <v>375</v>
      </c>
      <c r="B376" t="s">
        <v>23</v>
      </c>
      <c r="D376">
        <v>1</v>
      </c>
      <c r="E376">
        <v>5</v>
      </c>
      <c r="F376">
        <v>0</v>
      </c>
      <c r="G376">
        <v>376</v>
      </c>
      <c r="H376">
        <v>375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 t="s">
        <v>24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</row>
    <row r="377" spans="1:21" x14ac:dyDescent="0.25">
      <c r="A377">
        <v>376</v>
      </c>
      <c r="B377" t="s">
        <v>23</v>
      </c>
      <c r="D377">
        <v>1</v>
      </c>
      <c r="E377">
        <v>5</v>
      </c>
      <c r="F377">
        <v>0</v>
      </c>
      <c r="G377">
        <v>377</v>
      </c>
      <c r="H377">
        <v>376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 t="s">
        <v>24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</row>
    <row r="378" spans="1:21" x14ac:dyDescent="0.25">
      <c r="A378">
        <v>377</v>
      </c>
      <c r="B378" t="s">
        <v>23</v>
      </c>
      <c r="D378">
        <v>1</v>
      </c>
      <c r="E378">
        <v>5</v>
      </c>
      <c r="F378">
        <v>0</v>
      </c>
      <c r="G378">
        <v>378</v>
      </c>
      <c r="H378">
        <v>377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 t="s">
        <v>24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</row>
    <row r="379" spans="1:21" x14ac:dyDescent="0.25">
      <c r="A379">
        <v>378</v>
      </c>
      <c r="B379" t="s">
        <v>23</v>
      </c>
      <c r="D379">
        <v>1</v>
      </c>
      <c r="E379">
        <v>5</v>
      </c>
      <c r="F379">
        <v>0</v>
      </c>
      <c r="G379">
        <v>379</v>
      </c>
      <c r="H379">
        <v>378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 t="s">
        <v>24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</row>
    <row r="380" spans="1:21" x14ac:dyDescent="0.25">
      <c r="A380">
        <v>379</v>
      </c>
      <c r="B380" t="s">
        <v>23</v>
      </c>
      <c r="D380">
        <v>1</v>
      </c>
      <c r="E380">
        <v>5</v>
      </c>
      <c r="F380">
        <v>0</v>
      </c>
      <c r="G380">
        <v>380</v>
      </c>
      <c r="H380">
        <v>379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 t="s">
        <v>24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</row>
    <row r="381" spans="1:21" x14ac:dyDescent="0.25">
      <c r="A381">
        <v>380</v>
      </c>
      <c r="B381" t="s">
        <v>23</v>
      </c>
      <c r="D381">
        <v>1</v>
      </c>
      <c r="E381">
        <v>5</v>
      </c>
      <c r="F381">
        <v>0</v>
      </c>
      <c r="G381">
        <v>381</v>
      </c>
      <c r="H381">
        <v>380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 t="s">
        <v>24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</row>
    <row r="382" spans="1:21" x14ac:dyDescent="0.25">
      <c r="A382">
        <v>381</v>
      </c>
      <c r="B382" t="s">
        <v>23</v>
      </c>
      <c r="D382">
        <v>1</v>
      </c>
      <c r="E382">
        <v>5</v>
      </c>
      <c r="F382">
        <v>0</v>
      </c>
      <c r="G382">
        <v>382</v>
      </c>
      <c r="H382">
        <v>381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 t="s">
        <v>24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</row>
    <row r="383" spans="1:21" x14ac:dyDescent="0.25">
      <c r="A383">
        <v>382</v>
      </c>
      <c r="B383" t="s">
        <v>23</v>
      </c>
      <c r="D383">
        <v>1</v>
      </c>
      <c r="E383">
        <v>5</v>
      </c>
      <c r="F383">
        <v>0</v>
      </c>
      <c r="G383">
        <v>383</v>
      </c>
      <c r="H383">
        <v>382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 t="s">
        <v>24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</row>
    <row r="384" spans="1:21" x14ac:dyDescent="0.25">
      <c r="A384">
        <v>383</v>
      </c>
      <c r="B384" t="s">
        <v>23</v>
      </c>
      <c r="D384">
        <v>1</v>
      </c>
      <c r="E384">
        <v>5</v>
      </c>
      <c r="F384">
        <v>0</v>
      </c>
      <c r="G384">
        <v>384</v>
      </c>
      <c r="H384">
        <v>383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 t="s">
        <v>24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</row>
    <row r="385" spans="1:21" x14ac:dyDescent="0.25">
      <c r="A385">
        <v>384</v>
      </c>
      <c r="B385" t="s">
        <v>23</v>
      </c>
      <c r="D385">
        <v>1</v>
      </c>
      <c r="E385">
        <v>5</v>
      </c>
      <c r="F385">
        <v>0</v>
      </c>
      <c r="G385">
        <v>385</v>
      </c>
      <c r="H385">
        <v>384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 t="s">
        <v>24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</row>
    <row r="386" spans="1:21" x14ac:dyDescent="0.25">
      <c r="A386">
        <v>385</v>
      </c>
      <c r="B386" t="s">
        <v>23</v>
      </c>
      <c r="D386">
        <v>1</v>
      </c>
      <c r="E386">
        <v>5</v>
      </c>
      <c r="F386">
        <v>0</v>
      </c>
      <c r="G386">
        <v>386</v>
      </c>
      <c r="H386">
        <v>385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 t="s">
        <v>24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</row>
    <row r="387" spans="1:21" x14ac:dyDescent="0.25">
      <c r="A387">
        <v>386</v>
      </c>
      <c r="B387" t="s">
        <v>23</v>
      </c>
      <c r="D387">
        <v>1</v>
      </c>
      <c r="E387">
        <v>4</v>
      </c>
      <c r="F387">
        <v>0</v>
      </c>
      <c r="G387">
        <v>387</v>
      </c>
      <c r="H387">
        <v>386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 t="s">
        <v>24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</row>
    <row r="388" spans="1:21" x14ac:dyDescent="0.25">
      <c r="A388">
        <v>387</v>
      </c>
      <c r="B388" t="s">
        <v>23</v>
      </c>
      <c r="D388">
        <v>1</v>
      </c>
      <c r="E388">
        <v>4</v>
      </c>
      <c r="F388">
        <v>0</v>
      </c>
      <c r="G388">
        <v>388</v>
      </c>
      <c r="H388">
        <v>387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 t="s">
        <v>24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</row>
    <row r="389" spans="1:21" x14ac:dyDescent="0.25">
      <c r="A389">
        <v>388</v>
      </c>
      <c r="B389" t="s">
        <v>23</v>
      </c>
      <c r="D389">
        <v>1</v>
      </c>
      <c r="E389">
        <v>4</v>
      </c>
      <c r="F389">
        <v>0</v>
      </c>
      <c r="G389">
        <v>389</v>
      </c>
      <c r="H389">
        <v>388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 t="s">
        <v>24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</row>
    <row r="390" spans="1:21" x14ac:dyDescent="0.25">
      <c r="A390">
        <v>389</v>
      </c>
      <c r="B390" t="s">
        <v>23</v>
      </c>
      <c r="D390">
        <v>1</v>
      </c>
      <c r="E390">
        <v>4</v>
      </c>
      <c r="F390">
        <v>0</v>
      </c>
      <c r="G390">
        <v>390</v>
      </c>
      <c r="H390">
        <v>389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 t="s">
        <v>24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</row>
    <row r="391" spans="1:21" x14ac:dyDescent="0.25">
      <c r="A391">
        <v>390</v>
      </c>
      <c r="B391" t="s">
        <v>23</v>
      </c>
      <c r="D391">
        <v>1</v>
      </c>
      <c r="E391">
        <v>4</v>
      </c>
      <c r="F391">
        <v>0</v>
      </c>
      <c r="G391">
        <v>391</v>
      </c>
      <c r="H391">
        <v>390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 t="s">
        <v>24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</row>
    <row r="392" spans="1:21" x14ac:dyDescent="0.25">
      <c r="A392">
        <v>391</v>
      </c>
      <c r="B392" t="s">
        <v>23</v>
      </c>
      <c r="D392">
        <v>1</v>
      </c>
      <c r="E392">
        <v>4</v>
      </c>
      <c r="F392">
        <v>0</v>
      </c>
      <c r="G392">
        <v>392</v>
      </c>
      <c r="H392">
        <v>391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 t="s">
        <v>24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</row>
    <row r="393" spans="1:21" x14ac:dyDescent="0.25">
      <c r="A393">
        <v>392</v>
      </c>
      <c r="B393" t="s">
        <v>23</v>
      </c>
      <c r="D393">
        <v>1</v>
      </c>
      <c r="E393">
        <v>4</v>
      </c>
      <c r="F393">
        <v>0</v>
      </c>
      <c r="G393">
        <v>393</v>
      </c>
      <c r="H393">
        <v>392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 t="s">
        <v>24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</row>
    <row r="394" spans="1:21" x14ac:dyDescent="0.25">
      <c r="A394">
        <v>393</v>
      </c>
      <c r="B394" t="s">
        <v>23</v>
      </c>
      <c r="D394">
        <v>1</v>
      </c>
      <c r="E394">
        <v>4</v>
      </c>
      <c r="F394">
        <v>0</v>
      </c>
      <c r="G394">
        <v>394</v>
      </c>
      <c r="H394">
        <v>393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 t="s">
        <v>24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</row>
    <row r="395" spans="1:21" x14ac:dyDescent="0.25">
      <c r="A395">
        <v>394</v>
      </c>
      <c r="B395" t="s">
        <v>23</v>
      </c>
      <c r="D395">
        <v>1</v>
      </c>
      <c r="E395">
        <v>4</v>
      </c>
      <c r="F395">
        <v>0</v>
      </c>
      <c r="G395">
        <v>395</v>
      </c>
      <c r="H395">
        <v>394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 t="s">
        <v>24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</row>
    <row r="396" spans="1:21" x14ac:dyDescent="0.25">
      <c r="A396">
        <v>395</v>
      </c>
      <c r="B396" t="s">
        <v>23</v>
      </c>
      <c r="D396">
        <v>1</v>
      </c>
      <c r="E396">
        <v>4</v>
      </c>
      <c r="F396">
        <v>0</v>
      </c>
      <c r="G396">
        <v>396</v>
      </c>
      <c r="H396">
        <v>395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 t="s">
        <v>24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</row>
    <row r="397" spans="1:21" x14ac:dyDescent="0.25">
      <c r="A397">
        <v>396</v>
      </c>
      <c r="B397" t="s">
        <v>23</v>
      </c>
      <c r="D397">
        <v>1</v>
      </c>
      <c r="E397">
        <v>4</v>
      </c>
      <c r="F397">
        <v>0</v>
      </c>
      <c r="G397">
        <v>397</v>
      </c>
      <c r="H397">
        <v>396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 t="s">
        <v>24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</row>
    <row r="398" spans="1:21" x14ac:dyDescent="0.25">
      <c r="A398">
        <v>397</v>
      </c>
      <c r="B398" t="s">
        <v>23</v>
      </c>
      <c r="D398">
        <v>1</v>
      </c>
      <c r="E398">
        <v>4</v>
      </c>
      <c r="F398">
        <v>0</v>
      </c>
      <c r="G398">
        <v>398</v>
      </c>
      <c r="H398">
        <v>397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 t="s">
        <v>24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</row>
    <row r="399" spans="1:21" x14ac:dyDescent="0.25">
      <c r="A399">
        <v>398</v>
      </c>
      <c r="B399" t="s">
        <v>23</v>
      </c>
      <c r="D399">
        <v>1</v>
      </c>
      <c r="E399">
        <v>3</v>
      </c>
      <c r="F399">
        <v>0</v>
      </c>
      <c r="G399">
        <v>399</v>
      </c>
      <c r="H399">
        <v>398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 t="s">
        <v>24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</row>
    <row r="400" spans="1:21" x14ac:dyDescent="0.25">
      <c r="A400">
        <v>399</v>
      </c>
      <c r="B400" t="s">
        <v>23</v>
      </c>
      <c r="D400">
        <v>1</v>
      </c>
      <c r="E400">
        <v>3</v>
      </c>
      <c r="F400">
        <v>0</v>
      </c>
      <c r="G400">
        <v>400</v>
      </c>
      <c r="H400">
        <v>399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 t="s">
        <v>24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</row>
    <row r="401" spans="1:21" x14ac:dyDescent="0.25">
      <c r="A401">
        <v>400</v>
      </c>
      <c r="B401" t="s">
        <v>23</v>
      </c>
      <c r="D401">
        <v>1</v>
      </c>
      <c r="E401">
        <v>3</v>
      </c>
      <c r="F401">
        <v>0</v>
      </c>
      <c r="G401">
        <v>401</v>
      </c>
      <c r="H401">
        <v>400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 t="s">
        <v>24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</row>
    <row r="402" spans="1:21" x14ac:dyDescent="0.25">
      <c r="A402">
        <v>401</v>
      </c>
      <c r="B402" t="s">
        <v>23</v>
      </c>
      <c r="D402">
        <v>1</v>
      </c>
      <c r="E402">
        <v>3</v>
      </c>
      <c r="F402">
        <v>0</v>
      </c>
      <c r="G402">
        <v>402</v>
      </c>
      <c r="H402">
        <v>401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 t="s">
        <v>24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</row>
    <row r="403" spans="1:21" x14ac:dyDescent="0.25">
      <c r="A403">
        <v>402</v>
      </c>
      <c r="B403" t="s">
        <v>23</v>
      </c>
      <c r="D403">
        <v>1</v>
      </c>
      <c r="E403">
        <v>3</v>
      </c>
      <c r="F403">
        <v>0</v>
      </c>
      <c r="G403">
        <v>403</v>
      </c>
      <c r="H403">
        <v>402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 t="s">
        <v>24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</row>
    <row r="404" spans="1:21" x14ac:dyDescent="0.25">
      <c r="A404">
        <v>403</v>
      </c>
      <c r="B404" t="s">
        <v>23</v>
      </c>
      <c r="D404">
        <v>1</v>
      </c>
      <c r="E404">
        <v>3</v>
      </c>
      <c r="F404">
        <v>0</v>
      </c>
      <c r="G404">
        <v>404</v>
      </c>
      <c r="H404">
        <v>403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 t="s">
        <v>24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</row>
    <row r="405" spans="1:21" x14ac:dyDescent="0.25">
      <c r="A405">
        <v>404</v>
      </c>
      <c r="B405" t="s">
        <v>23</v>
      </c>
      <c r="D405">
        <v>1</v>
      </c>
      <c r="E405">
        <v>3</v>
      </c>
      <c r="F405">
        <v>0</v>
      </c>
      <c r="G405">
        <v>405</v>
      </c>
      <c r="H405">
        <v>404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 t="s">
        <v>24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</row>
    <row r="406" spans="1:21" x14ac:dyDescent="0.25">
      <c r="A406">
        <v>405</v>
      </c>
      <c r="B406" t="s">
        <v>23</v>
      </c>
      <c r="D406">
        <v>1</v>
      </c>
      <c r="E406">
        <v>3</v>
      </c>
      <c r="F406">
        <v>0</v>
      </c>
      <c r="G406">
        <v>406</v>
      </c>
      <c r="H406">
        <v>405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 t="s">
        <v>24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</row>
    <row r="407" spans="1:21" x14ac:dyDescent="0.25">
      <c r="A407">
        <v>406</v>
      </c>
      <c r="B407" t="s">
        <v>23</v>
      </c>
      <c r="D407">
        <v>1</v>
      </c>
      <c r="E407">
        <v>3</v>
      </c>
      <c r="F407">
        <v>0</v>
      </c>
      <c r="G407">
        <v>407</v>
      </c>
      <c r="H407">
        <v>406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 t="s">
        <v>24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</row>
    <row r="408" spans="1:21" x14ac:dyDescent="0.25">
      <c r="A408">
        <v>407</v>
      </c>
      <c r="B408" t="s">
        <v>23</v>
      </c>
      <c r="D408">
        <v>1</v>
      </c>
      <c r="E408">
        <v>3</v>
      </c>
      <c r="F408">
        <v>0</v>
      </c>
      <c r="G408">
        <v>408</v>
      </c>
      <c r="H408">
        <v>407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 t="s">
        <v>24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</row>
    <row r="409" spans="1:21" x14ac:dyDescent="0.25">
      <c r="A409">
        <v>408</v>
      </c>
      <c r="B409" t="s">
        <v>23</v>
      </c>
      <c r="D409">
        <v>1</v>
      </c>
      <c r="E409">
        <v>2</v>
      </c>
      <c r="F409">
        <v>0</v>
      </c>
      <c r="G409">
        <v>409</v>
      </c>
      <c r="H409">
        <v>408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 t="s">
        <v>24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</row>
    <row r="410" spans="1:21" x14ac:dyDescent="0.25">
      <c r="A410">
        <v>409</v>
      </c>
      <c r="B410" t="s">
        <v>23</v>
      </c>
      <c r="D410">
        <v>1</v>
      </c>
      <c r="E410">
        <v>2</v>
      </c>
      <c r="F410">
        <v>0</v>
      </c>
      <c r="G410">
        <v>410</v>
      </c>
      <c r="H410">
        <v>409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 t="s">
        <v>24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</row>
    <row r="411" spans="1:21" x14ac:dyDescent="0.25">
      <c r="A411">
        <v>410</v>
      </c>
      <c r="B411" t="s">
        <v>23</v>
      </c>
      <c r="D411">
        <v>1</v>
      </c>
      <c r="E411">
        <v>2</v>
      </c>
      <c r="F411">
        <v>0</v>
      </c>
      <c r="G411">
        <v>411</v>
      </c>
      <c r="H411">
        <v>410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 t="s">
        <v>24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</row>
    <row r="412" spans="1:21" x14ac:dyDescent="0.25">
      <c r="A412">
        <v>411</v>
      </c>
      <c r="B412" t="s">
        <v>23</v>
      </c>
      <c r="D412">
        <v>1</v>
      </c>
      <c r="E412">
        <v>2</v>
      </c>
      <c r="F412">
        <v>0</v>
      </c>
      <c r="G412">
        <v>412</v>
      </c>
      <c r="H412">
        <v>411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 t="s">
        <v>24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</row>
    <row r="413" spans="1:21" x14ac:dyDescent="0.25">
      <c r="A413">
        <v>412</v>
      </c>
      <c r="B413" t="s">
        <v>23</v>
      </c>
      <c r="D413">
        <v>1</v>
      </c>
      <c r="E413">
        <v>2</v>
      </c>
      <c r="F413">
        <v>0</v>
      </c>
      <c r="G413">
        <v>413</v>
      </c>
      <c r="H413">
        <v>412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 t="s">
        <v>24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</row>
    <row r="414" spans="1:21" x14ac:dyDescent="0.25">
      <c r="A414">
        <v>413</v>
      </c>
      <c r="B414" t="s">
        <v>23</v>
      </c>
      <c r="D414">
        <v>1</v>
      </c>
      <c r="E414">
        <v>2</v>
      </c>
      <c r="F414">
        <v>0</v>
      </c>
      <c r="G414">
        <v>414</v>
      </c>
      <c r="H414">
        <v>413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 t="s">
        <v>24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</row>
    <row r="415" spans="1:21" x14ac:dyDescent="0.25">
      <c r="A415">
        <v>414</v>
      </c>
      <c r="B415" t="s">
        <v>23</v>
      </c>
      <c r="D415">
        <v>1</v>
      </c>
      <c r="E415">
        <v>2</v>
      </c>
      <c r="F415">
        <v>0</v>
      </c>
      <c r="G415">
        <v>415</v>
      </c>
      <c r="H415">
        <v>414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 t="s">
        <v>24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</row>
    <row r="416" spans="1:21" x14ac:dyDescent="0.25">
      <c r="A416">
        <v>415</v>
      </c>
      <c r="B416" t="s">
        <v>23</v>
      </c>
      <c r="D416">
        <v>1</v>
      </c>
      <c r="E416">
        <v>2</v>
      </c>
      <c r="F416">
        <v>0</v>
      </c>
      <c r="G416">
        <v>416</v>
      </c>
      <c r="H416">
        <v>415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 t="s">
        <v>24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</row>
    <row r="417" spans="1:21" x14ac:dyDescent="0.25">
      <c r="A417">
        <v>416</v>
      </c>
      <c r="B417" t="s">
        <v>23</v>
      </c>
      <c r="D417">
        <v>1</v>
      </c>
      <c r="E417">
        <v>2</v>
      </c>
      <c r="F417">
        <v>0</v>
      </c>
      <c r="G417">
        <v>417</v>
      </c>
      <c r="H417">
        <v>416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 t="s">
        <v>24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</row>
    <row r="418" spans="1:21" x14ac:dyDescent="0.25">
      <c r="A418">
        <v>417</v>
      </c>
      <c r="B418" t="s">
        <v>23</v>
      </c>
      <c r="D418">
        <v>1</v>
      </c>
      <c r="E418">
        <v>2</v>
      </c>
      <c r="F418">
        <v>0</v>
      </c>
      <c r="G418">
        <v>418</v>
      </c>
      <c r="H418">
        <v>417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 t="s">
        <v>24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</row>
    <row r="419" spans="1:21" x14ac:dyDescent="0.25">
      <c r="A419">
        <v>418</v>
      </c>
      <c r="B419" t="s">
        <v>23</v>
      </c>
      <c r="D419">
        <v>1</v>
      </c>
      <c r="E419">
        <v>2</v>
      </c>
      <c r="F419">
        <v>0</v>
      </c>
      <c r="G419">
        <v>419</v>
      </c>
      <c r="H419">
        <v>418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 t="s">
        <v>24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</row>
    <row r="420" spans="1:21" x14ac:dyDescent="0.25">
      <c r="A420">
        <v>419</v>
      </c>
      <c r="B420" t="s">
        <v>23</v>
      </c>
      <c r="D420">
        <v>1</v>
      </c>
      <c r="E420">
        <v>1</v>
      </c>
      <c r="F420">
        <v>0</v>
      </c>
      <c r="G420">
        <v>420</v>
      </c>
      <c r="H420">
        <v>419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 t="s">
        <v>24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</row>
    <row r="421" spans="1:21" x14ac:dyDescent="0.25">
      <c r="A421">
        <v>420</v>
      </c>
      <c r="B421" t="s">
        <v>23</v>
      </c>
      <c r="D421">
        <v>1</v>
      </c>
      <c r="E421">
        <v>1</v>
      </c>
      <c r="F421">
        <v>0</v>
      </c>
      <c r="G421">
        <v>421</v>
      </c>
      <c r="H421">
        <v>420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 t="s">
        <v>24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</row>
    <row r="422" spans="1:21" x14ac:dyDescent="0.25">
      <c r="A422">
        <v>421</v>
      </c>
      <c r="B422" t="s">
        <v>23</v>
      </c>
      <c r="D422">
        <v>1</v>
      </c>
      <c r="E422">
        <v>1</v>
      </c>
      <c r="F422">
        <v>0</v>
      </c>
      <c r="G422">
        <v>422</v>
      </c>
      <c r="H422">
        <v>421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 t="s">
        <v>24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</row>
    <row r="423" spans="1:21" x14ac:dyDescent="0.25">
      <c r="A423">
        <v>422</v>
      </c>
      <c r="B423" t="s">
        <v>23</v>
      </c>
      <c r="D423">
        <v>1</v>
      </c>
      <c r="E423">
        <v>1</v>
      </c>
      <c r="F423">
        <v>0</v>
      </c>
      <c r="G423">
        <v>423</v>
      </c>
      <c r="H423">
        <v>422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 t="s">
        <v>24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</row>
    <row r="424" spans="1:21" x14ac:dyDescent="0.25">
      <c r="A424">
        <v>423</v>
      </c>
      <c r="B424" t="s">
        <v>23</v>
      </c>
      <c r="D424">
        <v>1</v>
      </c>
      <c r="E424">
        <v>1</v>
      </c>
      <c r="F424">
        <v>0</v>
      </c>
      <c r="G424">
        <v>424</v>
      </c>
      <c r="H424">
        <v>423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 t="s">
        <v>24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</row>
    <row r="425" spans="1:21" x14ac:dyDescent="0.25">
      <c r="A425">
        <v>424</v>
      </c>
      <c r="B425" t="s">
        <v>23</v>
      </c>
      <c r="D425">
        <v>1</v>
      </c>
      <c r="E425">
        <v>1</v>
      </c>
      <c r="F425">
        <v>0</v>
      </c>
      <c r="G425">
        <v>425</v>
      </c>
      <c r="H425">
        <v>424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 t="s">
        <v>24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</row>
    <row r="426" spans="1:21" x14ac:dyDescent="0.25">
      <c r="A426">
        <v>425</v>
      </c>
      <c r="B426" t="s">
        <v>23</v>
      </c>
      <c r="D426">
        <v>1</v>
      </c>
      <c r="E426">
        <v>1</v>
      </c>
      <c r="F426">
        <v>0</v>
      </c>
      <c r="G426">
        <v>426</v>
      </c>
      <c r="H426">
        <v>425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 t="s">
        <v>24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</row>
    <row r="427" spans="1:21" x14ac:dyDescent="0.25">
      <c r="A427">
        <v>426</v>
      </c>
      <c r="B427" t="s">
        <v>23</v>
      </c>
      <c r="D427">
        <v>1</v>
      </c>
      <c r="E427">
        <v>1</v>
      </c>
      <c r="F427">
        <v>0</v>
      </c>
      <c r="G427">
        <v>427</v>
      </c>
      <c r="H427">
        <v>426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 t="s">
        <v>24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</row>
    <row r="428" spans="1:21" x14ac:dyDescent="0.25">
      <c r="A428">
        <v>427</v>
      </c>
      <c r="B428" t="s">
        <v>23</v>
      </c>
      <c r="D428">
        <v>1</v>
      </c>
      <c r="E428">
        <v>1</v>
      </c>
      <c r="F428">
        <v>0</v>
      </c>
      <c r="G428">
        <v>428</v>
      </c>
      <c r="H428">
        <v>427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 t="s">
        <v>24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</row>
    <row r="429" spans="1:21" x14ac:dyDescent="0.25">
      <c r="A429">
        <v>428</v>
      </c>
      <c r="B429" t="s">
        <v>23</v>
      </c>
      <c r="D429">
        <v>1</v>
      </c>
      <c r="E429">
        <v>1</v>
      </c>
      <c r="F429">
        <v>0</v>
      </c>
      <c r="G429">
        <v>429</v>
      </c>
      <c r="H429">
        <v>428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 t="s">
        <v>24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</row>
    <row r="430" spans="1:21" x14ac:dyDescent="0.25">
      <c r="A430">
        <v>429</v>
      </c>
      <c r="B430" t="s">
        <v>23</v>
      </c>
      <c r="D430">
        <v>1</v>
      </c>
      <c r="E430">
        <v>1</v>
      </c>
      <c r="F430">
        <v>0</v>
      </c>
      <c r="G430">
        <v>430</v>
      </c>
      <c r="H430">
        <v>429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 t="s">
        <v>24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</row>
    <row r="431" spans="1:21" x14ac:dyDescent="0.25">
      <c r="A431">
        <v>430</v>
      </c>
      <c r="B431" t="s">
        <v>23</v>
      </c>
      <c r="D431">
        <v>1</v>
      </c>
      <c r="E431">
        <v>1</v>
      </c>
      <c r="F431">
        <v>0</v>
      </c>
      <c r="G431">
        <v>431</v>
      </c>
      <c r="H431">
        <v>430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 t="s">
        <v>24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</row>
    <row r="432" spans="1:21" x14ac:dyDescent="0.25">
      <c r="A432">
        <v>500</v>
      </c>
      <c r="B432" t="s">
        <v>23</v>
      </c>
      <c r="D432">
        <v>1</v>
      </c>
      <c r="E432">
        <v>1</v>
      </c>
      <c r="F432">
        <v>0</v>
      </c>
      <c r="G432">
        <v>501</v>
      </c>
      <c r="H432">
        <v>500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 t="s">
        <v>24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</row>
    <row r="433" spans="1:21" x14ac:dyDescent="0.25">
      <c r="A433">
        <v>501</v>
      </c>
      <c r="B433" t="s">
        <v>23</v>
      </c>
      <c r="D433">
        <v>1</v>
      </c>
      <c r="E433">
        <v>1</v>
      </c>
      <c r="F433">
        <v>0</v>
      </c>
      <c r="G433">
        <v>502</v>
      </c>
      <c r="H433">
        <v>501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 t="s">
        <v>24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</row>
    <row r="434" spans="1:21" x14ac:dyDescent="0.25">
      <c r="A434">
        <v>502</v>
      </c>
      <c r="B434" t="s">
        <v>23</v>
      </c>
      <c r="D434">
        <v>1</v>
      </c>
      <c r="E434">
        <v>1</v>
      </c>
      <c r="F434">
        <v>0</v>
      </c>
      <c r="G434">
        <v>503</v>
      </c>
      <c r="H434">
        <v>502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 t="s">
        <v>24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</row>
    <row r="435" spans="1:21" x14ac:dyDescent="0.25">
      <c r="A435">
        <v>503</v>
      </c>
      <c r="B435" t="s">
        <v>23</v>
      </c>
      <c r="D435">
        <v>1</v>
      </c>
      <c r="E435">
        <v>1</v>
      </c>
      <c r="F435">
        <v>0</v>
      </c>
      <c r="G435">
        <v>504</v>
      </c>
      <c r="H435">
        <v>503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 t="s">
        <v>24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</row>
    <row r="436" spans="1:21" x14ac:dyDescent="0.25">
      <c r="A436">
        <v>504</v>
      </c>
      <c r="B436" t="s">
        <v>23</v>
      </c>
      <c r="D436">
        <v>1</v>
      </c>
      <c r="E436">
        <v>1</v>
      </c>
      <c r="F436">
        <v>0</v>
      </c>
      <c r="G436">
        <v>505</v>
      </c>
      <c r="H436">
        <v>504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 t="s">
        <v>24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</row>
    <row r="437" spans="1:21" x14ac:dyDescent="0.25">
      <c r="A437">
        <v>505</v>
      </c>
      <c r="B437" t="s">
        <v>23</v>
      </c>
      <c r="D437">
        <v>1</v>
      </c>
      <c r="E437">
        <v>1</v>
      </c>
      <c r="F437">
        <v>0</v>
      </c>
      <c r="G437">
        <v>506</v>
      </c>
      <c r="H437">
        <v>505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 t="s">
        <v>24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</row>
    <row r="438" spans="1:21" x14ac:dyDescent="0.25">
      <c r="A438">
        <v>506</v>
      </c>
      <c r="B438" t="s">
        <v>23</v>
      </c>
      <c r="D438">
        <v>1</v>
      </c>
      <c r="E438">
        <v>1</v>
      </c>
      <c r="F438">
        <v>0</v>
      </c>
      <c r="G438">
        <v>507</v>
      </c>
      <c r="H438">
        <v>506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 t="s">
        <v>24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</row>
    <row r="439" spans="1:21" x14ac:dyDescent="0.25">
      <c r="A439">
        <v>507</v>
      </c>
      <c r="B439" t="s">
        <v>23</v>
      </c>
      <c r="D439">
        <v>1</v>
      </c>
      <c r="E439">
        <v>1</v>
      </c>
      <c r="F439">
        <v>0</v>
      </c>
      <c r="G439">
        <v>508</v>
      </c>
      <c r="H439">
        <v>507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 t="s">
        <v>24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</row>
    <row r="440" spans="1:21" x14ac:dyDescent="0.25">
      <c r="A440">
        <v>508</v>
      </c>
      <c r="B440" t="s">
        <v>23</v>
      </c>
      <c r="D440">
        <v>1</v>
      </c>
      <c r="E440">
        <v>1</v>
      </c>
      <c r="F440">
        <v>0</v>
      </c>
      <c r="G440">
        <v>509</v>
      </c>
      <c r="H440">
        <v>508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 t="s">
        <v>24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</row>
    <row r="441" spans="1:21" x14ac:dyDescent="0.25">
      <c r="A441">
        <v>509</v>
      </c>
      <c r="B441" t="s">
        <v>23</v>
      </c>
      <c r="D441">
        <v>1</v>
      </c>
      <c r="E441">
        <v>1</v>
      </c>
      <c r="F441">
        <v>0</v>
      </c>
      <c r="G441">
        <v>510</v>
      </c>
      <c r="H441">
        <v>509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 t="s">
        <v>24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</row>
    <row r="442" spans="1:21" x14ac:dyDescent="0.25">
      <c r="A442">
        <v>510</v>
      </c>
      <c r="B442" t="s">
        <v>23</v>
      </c>
      <c r="D442">
        <v>1</v>
      </c>
      <c r="E442">
        <v>1</v>
      </c>
      <c r="F442">
        <v>0</v>
      </c>
      <c r="G442">
        <v>511</v>
      </c>
      <c r="H442">
        <v>510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 t="s">
        <v>24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</row>
    <row r="443" spans="1:21" x14ac:dyDescent="0.25">
      <c r="A443">
        <v>511</v>
      </c>
      <c r="B443" t="s">
        <v>23</v>
      </c>
      <c r="D443">
        <v>1</v>
      </c>
      <c r="E443">
        <v>1</v>
      </c>
      <c r="F443">
        <v>0</v>
      </c>
      <c r="G443">
        <v>512</v>
      </c>
      <c r="H443">
        <v>511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 t="s">
        <v>24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</row>
    <row r="444" spans="1:21" x14ac:dyDescent="0.25">
      <c r="A444">
        <v>512</v>
      </c>
      <c r="B444" t="s">
        <v>23</v>
      </c>
      <c r="D444">
        <v>1</v>
      </c>
      <c r="E444">
        <v>2</v>
      </c>
      <c r="F444">
        <v>0</v>
      </c>
      <c r="G444">
        <v>513</v>
      </c>
      <c r="H444">
        <v>512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 t="s">
        <v>24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</row>
    <row r="445" spans="1:21" x14ac:dyDescent="0.25">
      <c r="A445">
        <v>513</v>
      </c>
      <c r="B445" t="s">
        <v>23</v>
      </c>
      <c r="D445">
        <v>1</v>
      </c>
      <c r="E445">
        <v>2</v>
      </c>
      <c r="F445">
        <v>0</v>
      </c>
      <c r="G445">
        <v>514</v>
      </c>
      <c r="H445">
        <v>513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 t="s">
        <v>24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</row>
    <row r="446" spans="1:21" x14ac:dyDescent="0.25">
      <c r="A446">
        <v>514</v>
      </c>
      <c r="B446" t="s">
        <v>23</v>
      </c>
      <c r="D446">
        <v>1</v>
      </c>
      <c r="E446">
        <v>2</v>
      </c>
      <c r="F446">
        <v>0</v>
      </c>
      <c r="G446">
        <v>515</v>
      </c>
      <c r="H446">
        <v>514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 t="s">
        <v>24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</row>
    <row r="447" spans="1:21" x14ac:dyDescent="0.25">
      <c r="A447">
        <v>515</v>
      </c>
      <c r="B447" t="s">
        <v>23</v>
      </c>
      <c r="D447">
        <v>1</v>
      </c>
      <c r="E447">
        <v>2</v>
      </c>
      <c r="F447">
        <v>0</v>
      </c>
      <c r="G447">
        <v>516</v>
      </c>
      <c r="H447">
        <v>515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 t="s">
        <v>24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</row>
    <row r="448" spans="1:21" x14ac:dyDescent="0.25">
      <c r="A448">
        <v>516</v>
      </c>
      <c r="B448" t="s">
        <v>23</v>
      </c>
      <c r="D448">
        <v>1</v>
      </c>
      <c r="E448">
        <v>2</v>
      </c>
      <c r="F448">
        <v>0</v>
      </c>
      <c r="G448">
        <v>517</v>
      </c>
      <c r="H448">
        <v>516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 t="s">
        <v>24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</row>
    <row r="449" spans="1:21" x14ac:dyDescent="0.25">
      <c r="A449">
        <v>517</v>
      </c>
      <c r="B449" t="s">
        <v>23</v>
      </c>
      <c r="D449">
        <v>1</v>
      </c>
      <c r="E449">
        <v>2</v>
      </c>
      <c r="F449">
        <v>0</v>
      </c>
      <c r="G449">
        <v>518</v>
      </c>
      <c r="H449">
        <v>517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 t="s">
        <v>24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</row>
    <row r="450" spans="1:21" x14ac:dyDescent="0.25">
      <c r="A450">
        <v>518</v>
      </c>
      <c r="B450" t="s">
        <v>23</v>
      </c>
      <c r="D450">
        <v>1</v>
      </c>
      <c r="E450">
        <v>2</v>
      </c>
      <c r="F450">
        <v>0</v>
      </c>
      <c r="G450">
        <v>519</v>
      </c>
      <c r="H450">
        <v>518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 t="s">
        <v>24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</row>
    <row r="451" spans="1:21" x14ac:dyDescent="0.25">
      <c r="A451">
        <v>519</v>
      </c>
      <c r="B451" t="s">
        <v>23</v>
      </c>
      <c r="D451">
        <v>1</v>
      </c>
      <c r="E451">
        <v>2</v>
      </c>
      <c r="F451">
        <v>0</v>
      </c>
      <c r="G451">
        <v>520</v>
      </c>
      <c r="H451">
        <v>519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 t="s">
        <v>24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</row>
    <row r="452" spans="1:21" x14ac:dyDescent="0.25">
      <c r="A452">
        <v>520</v>
      </c>
      <c r="B452" t="s">
        <v>23</v>
      </c>
      <c r="D452">
        <v>1</v>
      </c>
      <c r="E452">
        <v>2</v>
      </c>
      <c r="F452">
        <v>0</v>
      </c>
      <c r="G452">
        <v>521</v>
      </c>
      <c r="H452">
        <v>520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 t="s">
        <v>24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</row>
    <row r="453" spans="1:21" x14ac:dyDescent="0.25">
      <c r="A453">
        <v>521</v>
      </c>
      <c r="B453" t="s">
        <v>23</v>
      </c>
      <c r="D453">
        <v>1</v>
      </c>
      <c r="E453">
        <v>2</v>
      </c>
      <c r="F453">
        <v>0</v>
      </c>
      <c r="G453">
        <v>522</v>
      </c>
      <c r="H453">
        <v>521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 t="s">
        <v>24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</row>
    <row r="454" spans="1:21" x14ac:dyDescent="0.25">
      <c r="A454">
        <v>522</v>
      </c>
      <c r="B454" t="s">
        <v>23</v>
      </c>
      <c r="D454">
        <v>1</v>
      </c>
      <c r="E454">
        <v>2</v>
      </c>
      <c r="F454">
        <v>0</v>
      </c>
      <c r="G454">
        <v>523</v>
      </c>
      <c r="H454">
        <v>522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 t="s">
        <v>24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</row>
    <row r="455" spans="1:21" x14ac:dyDescent="0.25">
      <c r="A455">
        <v>523</v>
      </c>
      <c r="B455" t="s">
        <v>23</v>
      </c>
      <c r="D455">
        <v>1</v>
      </c>
      <c r="E455">
        <v>2</v>
      </c>
      <c r="F455">
        <v>0</v>
      </c>
      <c r="G455">
        <v>524</v>
      </c>
      <c r="H455">
        <v>523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 t="s">
        <v>24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</row>
    <row r="456" spans="1:21" x14ac:dyDescent="0.25">
      <c r="A456">
        <v>524</v>
      </c>
      <c r="B456" t="s">
        <v>23</v>
      </c>
      <c r="D456">
        <v>1</v>
      </c>
      <c r="E456">
        <v>3</v>
      </c>
      <c r="F456">
        <v>0</v>
      </c>
      <c r="G456">
        <v>525</v>
      </c>
      <c r="H456">
        <v>524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 t="s">
        <v>24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</row>
    <row r="457" spans="1:21" x14ac:dyDescent="0.25">
      <c r="A457">
        <v>525</v>
      </c>
      <c r="B457" t="s">
        <v>23</v>
      </c>
      <c r="D457">
        <v>1</v>
      </c>
      <c r="E457">
        <v>3</v>
      </c>
      <c r="F457">
        <v>0</v>
      </c>
      <c r="G457">
        <v>526</v>
      </c>
      <c r="H457">
        <v>525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 t="s">
        <v>24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</row>
    <row r="458" spans="1:21" x14ac:dyDescent="0.25">
      <c r="A458">
        <v>526</v>
      </c>
      <c r="B458" t="s">
        <v>23</v>
      </c>
      <c r="D458">
        <v>1</v>
      </c>
      <c r="E458">
        <v>3</v>
      </c>
      <c r="F458">
        <v>0</v>
      </c>
      <c r="G458">
        <v>527</v>
      </c>
      <c r="H458">
        <v>526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 t="s">
        <v>24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</row>
    <row r="459" spans="1:21" x14ac:dyDescent="0.25">
      <c r="A459">
        <v>527</v>
      </c>
      <c r="B459" t="s">
        <v>23</v>
      </c>
      <c r="D459">
        <v>1</v>
      </c>
      <c r="E459">
        <v>3</v>
      </c>
      <c r="F459">
        <v>0</v>
      </c>
      <c r="G459">
        <v>528</v>
      </c>
      <c r="H459">
        <v>527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 t="s">
        <v>24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</row>
    <row r="460" spans="1:21" x14ac:dyDescent="0.25">
      <c r="A460">
        <v>528</v>
      </c>
      <c r="B460" t="s">
        <v>23</v>
      </c>
      <c r="D460">
        <v>1</v>
      </c>
      <c r="E460">
        <v>3</v>
      </c>
      <c r="F460">
        <v>0</v>
      </c>
      <c r="G460">
        <v>529</v>
      </c>
      <c r="H460">
        <v>528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 t="s">
        <v>24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</row>
    <row r="461" spans="1:21" x14ac:dyDescent="0.25">
      <c r="A461">
        <v>529</v>
      </c>
      <c r="B461" t="s">
        <v>23</v>
      </c>
      <c r="D461">
        <v>1</v>
      </c>
      <c r="E461">
        <v>3</v>
      </c>
      <c r="F461">
        <v>0</v>
      </c>
      <c r="G461">
        <v>530</v>
      </c>
      <c r="H461">
        <v>529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 t="s">
        <v>24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</row>
    <row r="462" spans="1:21" x14ac:dyDescent="0.25">
      <c r="A462">
        <v>530</v>
      </c>
      <c r="B462" t="s">
        <v>23</v>
      </c>
      <c r="D462">
        <v>1</v>
      </c>
      <c r="E462">
        <v>3</v>
      </c>
      <c r="F462">
        <v>0</v>
      </c>
      <c r="G462">
        <v>531</v>
      </c>
      <c r="H462">
        <v>530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 t="s">
        <v>24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</row>
    <row r="463" spans="1:21" x14ac:dyDescent="0.25">
      <c r="A463">
        <v>531</v>
      </c>
      <c r="B463" t="s">
        <v>23</v>
      </c>
      <c r="D463">
        <v>1</v>
      </c>
      <c r="E463">
        <v>3</v>
      </c>
      <c r="F463">
        <v>0</v>
      </c>
      <c r="G463">
        <v>532</v>
      </c>
      <c r="H463">
        <v>531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 t="s">
        <v>24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</row>
    <row r="464" spans="1:21" x14ac:dyDescent="0.25">
      <c r="A464">
        <v>532</v>
      </c>
      <c r="B464" t="s">
        <v>23</v>
      </c>
      <c r="D464">
        <v>1</v>
      </c>
      <c r="E464">
        <v>3</v>
      </c>
      <c r="F464">
        <v>0</v>
      </c>
      <c r="G464">
        <v>533</v>
      </c>
      <c r="H464">
        <v>532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 t="s">
        <v>24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</row>
    <row r="465" spans="1:21" x14ac:dyDescent="0.25">
      <c r="A465">
        <v>533</v>
      </c>
      <c r="B465" t="s">
        <v>23</v>
      </c>
      <c r="D465">
        <v>1</v>
      </c>
      <c r="E465">
        <v>3</v>
      </c>
      <c r="F465">
        <v>0</v>
      </c>
      <c r="G465">
        <v>534</v>
      </c>
      <c r="H465">
        <v>533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 t="s">
        <v>24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</row>
    <row r="466" spans="1:21" x14ac:dyDescent="0.25">
      <c r="A466">
        <v>534</v>
      </c>
      <c r="B466" t="s">
        <v>23</v>
      </c>
      <c r="D466">
        <v>1</v>
      </c>
      <c r="E466">
        <v>3</v>
      </c>
      <c r="F466">
        <v>0</v>
      </c>
      <c r="G466">
        <v>535</v>
      </c>
      <c r="H466">
        <v>534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 t="s">
        <v>24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</row>
    <row r="467" spans="1:21" x14ac:dyDescent="0.25">
      <c r="A467">
        <v>535</v>
      </c>
      <c r="B467" t="s">
        <v>23</v>
      </c>
      <c r="D467">
        <v>1</v>
      </c>
      <c r="E467">
        <v>4</v>
      </c>
      <c r="F467">
        <v>0</v>
      </c>
      <c r="G467">
        <v>536</v>
      </c>
      <c r="H467">
        <v>535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 t="s">
        <v>24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</row>
    <row r="468" spans="1:21" x14ac:dyDescent="0.25">
      <c r="A468">
        <v>536</v>
      </c>
      <c r="B468" t="s">
        <v>23</v>
      </c>
      <c r="D468">
        <v>1</v>
      </c>
      <c r="E468">
        <v>4</v>
      </c>
      <c r="F468">
        <v>0</v>
      </c>
      <c r="G468">
        <v>537</v>
      </c>
      <c r="H468">
        <v>536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 t="s">
        <v>24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</row>
    <row r="469" spans="1:21" x14ac:dyDescent="0.25">
      <c r="A469">
        <v>537</v>
      </c>
      <c r="B469" t="s">
        <v>23</v>
      </c>
      <c r="D469">
        <v>1</v>
      </c>
      <c r="E469">
        <v>4</v>
      </c>
      <c r="F469">
        <v>0</v>
      </c>
      <c r="G469">
        <v>538</v>
      </c>
      <c r="H469">
        <v>537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 t="s">
        <v>24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</row>
    <row r="470" spans="1:21" x14ac:dyDescent="0.25">
      <c r="A470">
        <v>538</v>
      </c>
      <c r="B470" t="s">
        <v>23</v>
      </c>
      <c r="D470">
        <v>1</v>
      </c>
      <c r="E470">
        <v>4</v>
      </c>
      <c r="F470">
        <v>0</v>
      </c>
      <c r="G470">
        <v>539</v>
      </c>
      <c r="H470">
        <v>538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 t="s">
        <v>24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</row>
    <row r="471" spans="1:21" x14ac:dyDescent="0.25">
      <c r="A471">
        <v>539</v>
      </c>
      <c r="B471" t="s">
        <v>23</v>
      </c>
      <c r="D471">
        <v>1</v>
      </c>
      <c r="E471">
        <v>4</v>
      </c>
      <c r="F471">
        <v>0</v>
      </c>
      <c r="G471">
        <v>540</v>
      </c>
      <c r="H471">
        <v>539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 t="s">
        <v>24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</row>
    <row r="472" spans="1:21" x14ac:dyDescent="0.25">
      <c r="A472">
        <v>540</v>
      </c>
      <c r="B472" t="s">
        <v>23</v>
      </c>
      <c r="D472">
        <v>1</v>
      </c>
      <c r="E472">
        <v>4</v>
      </c>
      <c r="F472">
        <v>0</v>
      </c>
      <c r="G472">
        <v>541</v>
      </c>
      <c r="H472">
        <v>540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 t="s">
        <v>24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</row>
    <row r="473" spans="1:21" x14ac:dyDescent="0.25">
      <c r="A473">
        <v>541</v>
      </c>
      <c r="B473" t="s">
        <v>23</v>
      </c>
      <c r="D473">
        <v>1</v>
      </c>
      <c r="E473">
        <v>4</v>
      </c>
      <c r="F473">
        <v>0</v>
      </c>
      <c r="G473">
        <v>542</v>
      </c>
      <c r="H473">
        <v>541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 t="s">
        <v>24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</row>
    <row r="474" spans="1:21" x14ac:dyDescent="0.25">
      <c r="A474">
        <v>542</v>
      </c>
      <c r="B474" t="s">
        <v>23</v>
      </c>
      <c r="D474">
        <v>1</v>
      </c>
      <c r="E474">
        <v>4</v>
      </c>
      <c r="F474">
        <v>0</v>
      </c>
      <c r="G474">
        <v>543</v>
      </c>
      <c r="H474">
        <v>542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 t="s">
        <v>24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</row>
    <row r="475" spans="1:21" x14ac:dyDescent="0.25">
      <c r="A475">
        <v>543</v>
      </c>
      <c r="B475" t="s">
        <v>23</v>
      </c>
      <c r="D475">
        <v>1</v>
      </c>
      <c r="E475">
        <v>4</v>
      </c>
      <c r="F475">
        <v>0</v>
      </c>
      <c r="G475">
        <v>544</v>
      </c>
      <c r="H475">
        <v>543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 t="s">
        <v>24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</row>
    <row r="476" spans="1:21" x14ac:dyDescent="0.25">
      <c r="A476">
        <v>544</v>
      </c>
      <c r="B476" t="s">
        <v>23</v>
      </c>
      <c r="D476">
        <v>1</v>
      </c>
      <c r="E476">
        <v>4</v>
      </c>
      <c r="F476">
        <v>0</v>
      </c>
      <c r="G476">
        <v>545</v>
      </c>
      <c r="H476">
        <v>544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 t="s">
        <v>24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</row>
    <row r="477" spans="1:21" x14ac:dyDescent="0.25">
      <c r="A477">
        <v>545</v>
      </c>
      <c r="B477" t="s">
        <v>23</v>
      </c>
      <c r="D477">
        <v>1</v>
      </c>
      <c r="E477">
        <v>4</v>
      </c>
      <c r="F477">
        <v>0</v>
      </c>
      <c r="G477">
        <v>546</v>
      </c>
      <c r="H477">
        <v>545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 t="s">
        <v>24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</row>
    <row r="478" spans="1:21" x14ac:dyDescent="0.25">
      <c r="A478">
        <v>546</v>
      </c>
      <c r="B478" t="s">
        <v>23</v>
      </c>
      <c r="D478">
        <v>1</v>
      </c>
      <c r="E478">
        <v>4</v>
      </c>
      <c r="F478">
        <v>0</v>
      </c>
      <c r="G478">
        <v>547</v>
      </c>
      <c r="H478">
        <v>546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 t="s">
        <v>24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</row>
    <row r="479" spans="1:21" x14ac:dyDescent="0.25">
      <c r="A479">
        <v>547</v>
      </c>
      <c r="B479" t="s">
        <v>23</v>
      </c>
      <c r="D479">
        <v>1</v>
      </c>
      <c r="E479">
        <v>5</v>
      </c>
      <c r="F479">
        <v>0</v>
      </c>
      <c r="G479">
        <v>548</v>
      </c>
      <c r="H479">
        <v>547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 t="s">
        <v>24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</row>
    <row r="480" spans="1:21" x14ac:dyDescent="0.25">
      <c r="A480">
        <v>548</v>
      </c>
      <c r="B480" t="s">
        <v>23</v>
      </c>
      <c r="D480">
        <v>1</v>
      </c>
      <c r="E480">
        <v>5</v>
      </c>
      <c r="F480">
        <v>0</v>
      </c>
      <c r="G480">
        <v>549</v>
      </c>
      <c r="H480">
        <v>548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 t="s">
        <v>24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</row>
    <row r="481" spans="1:21" x14ac:dyDescent="0.25">
      <c r="A481">
        <v>549</v>
      </c>
      <c r="B481" t="s">
        <v>23</v>
      </c>
      <c r="D481">
        <v>1</v>
      </c>
      <c r="E481">
        <v>5</v>
      </c>
      <c r="F481">
        <v>0</v>
      </c>
      <c r="G481">
        <v>550</v>
      </c>
      <c r="H481">
        <v>549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 t="s">
        <v>24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</row>
    <row r="482" spans="1:21" x14ac:dyDescent="0.25">
      <c r="A482">
        <v>550</v>
      </c>
      <c r="B482" t="s">
        <v>23</v>
      </c>
      <c r="D482">
        <v>1</v>
      </c>
      <c r="E482">
        <v>5</v>
      </c>
      <c r="F482">
        <v>0</v>
      </c>
      <c r="G482">
        <v>551</v>
      </c>
      <c r="H482">
        <v>550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 t="s">
        <v>24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</row>
    <row r="483" spans="1:21" x14ac:dyDescent="0.25">
      <c r="A483">
        <v>551</v>
      </c>
      <c r="B483" t="s">
        <v>23</v>
      </c>
      <c r="D483">
        <v>1</v>
      </c>
      <c r="E483">
        <v>5</v>
      </c>
      <c r="F483">
        <v>0</v>
      </c>
      <c r="G483">
        <v>552</v>
      </c>
      <c r="H483">
        <v>551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 t="s">
        <v>24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</row>
    <row r="484" spans="1:21" x14ac:dyDescent="0.25">
      <c r="A484">
        <v>552</v>
      </c>
      <c r="B484" t="s">
        <v>23</v>
      </c>
      <c r="D484">
        <v>1</v>
      </c>
      <c r="E484">
        <v>5</v>
      </c>
      <c r="F484">
        <v>0</v>
      </c>
      <c r="G484">
        <v>553</v>
      </c>
      <c r="H484">
        <v>552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 t="s">
        <v>24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</row>
    <row r="485" spans="1:21" x14ac:dyDescent="0.25">
      <c r="A485">
        <v>553</v>
      </c>
      <c r="B485" t="s">
        <v>23</v>
      </c>
      <c r="D485">
        <v>1</v>
      </c>
      <c r="E485">
        <v>5</v>
      </c>
      <c r="F485">
        <v>0</v>
      </c>
      <c r="G485">
        <v>554</v>
      </c>
      <c r="H485">
        <v>553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 t="s">
        <v>24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</row>
    <row r="486" spans="1:21" x14ac:dyDescent="0.25">
      <c r="A486">
        <v>554</v>
      </c>
      <c r="B486" t="s">
        <v>23</v>
      </c>
      <c r="D486">
        <v>1</v>
      </c>
      <c r="E486">
        <v>5</v>
      </c>
      <c r="F486">
        <v>0</v>
      </c>
      <c r="G486">
        <v>555</v>
      </c>
      <c r="H486">
        <v>554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 t="s">
        <v>24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</row>
    <row r="487" spans="1:21" x14ac:dyDescent="0.25">
      <c r="A487">
        <v>555</v>
      </c>
      <c r="B487" t="s">
        <v>23</v>
      </c>
      <c r="D487">
        <v>1</v>
      </c>
      <c r="E487">
        <v>5</v>
      </c>
      <c r="F487">
        <v>0</v>
      </c>
      <c r="G487">
        <v>556</v>
      </c>
      <c r="H487">
        <v>555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 t="s">
        <v>24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</row>
    <row r="488" spans="1:21" x14ac:dyDescent="0.25">
      <c r="A488">
        <v>556</v>
      </c>
      <c r="B488" t="s">
        <v>23</v>
      </c>
      <c r="D488">
        <v>1</v>
      </c>
      <c r="E488">
        <v>5</v>
      </c>
      <c r="F488">
        <v>0</v>
      </c>
      <c r="G488">
        <v>557</v>
      </c>
      <c r="H488">
        <v>556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 t="s">
        <v>24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</row>
    <row r="489" spans="1:21" x14ac:dyDescent="0.25">
      <c r="A489">
        <v>557</v>
      </c>
      <c r="B489" t="s">
        <v>23</v>
      </c>
      <c r="D489">
        <v>1</v>
      </c>
      <c r="E489">
        <v>5</v>
      </c>
      <c r="F489">
        <v>0</v>
      </c>
      <c r="G489">
        <v>558</v>
      </c>
      <c r="H489">
        <v>557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 t="s">
        <v>24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</row>
    <row r="490" spans="1:21" x14ac:dyDescent="0.25">
      <c r="A490">
        <v>558</v>
      </c>
      <c r="B490" t="s">
        <v>23</v>
      </c>
      <c r="D490">
        <v>1</v>
      </c>
      <c r="E490">
        <v>5</v>
      </c>
      <c r="F490">
        <v>0</v>
      </c>
      <c r="G490">
        <v>559</v>
      </c>
      <c r="H490">
        <v>558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 t="s">
        <v>24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</row>
    <row r="491" spans="1:21" x14ac:dyDescent="0.25">
      <c r="A491">
        <v>559</v>
      </c>
      <c r="B491" t="s">
        <v>23</v>
      </c>
      <c r="D491">
        <v>1</v>
      </c>
      <c r="E491">
        <v>5</v>
      </c>
      <c r="F491">
        <v>0</v>
      </c>
      <c r="G491">
        <v>560</v>
      </c>
      <c r="H491">
        <v>559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 t="s">
        <v>24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</row>
    <row r="492" spans="1:21" x14ac:dyDescent="0.25">
      <c r="A492">
        <v>560</v>
      </c>
      <c r="B492" t="s">
        <v>23</v>
      </c>
      <c r="D492">
        <v>1</v>
      </c>
      <c r="E492">
        <v>6</v>
      </c>
      <c r="F492">
        <v>0</v>
      </c>
      <c r="G492">
        <v>561</v>
      </c>
      <c r="H492">
        <v>560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 t="s">
        <v>24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</row>
    <row r="493" spans="1:21" x14ac:dyDescent="0.25">
      <c r="A493">
        <v>561</v>
      </c>
      <c r="B493" t="s">
        <v>23</v>
      </c>
      <c r="D493">
        <v>1</v>
      </c>
      <c r="E493">
        <v>6</v>
      </c>
      <c r="F493">
        <v>0</v>
      </c>
      <c r="G493">
        <v>562</v>
      </c>
      <c r="H493">
        <v>561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 t="s">
        <v>24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</row>
    <row r="494" spans="1:21" x14ac:dyDescent="0.25">
      <c r="A494">
        <v>562</v>
      </c>
      <c r="B494" t="s">
        <v>23</v>
      </c>
      <c r="D494">
        <v>1</v>
      </c>
      <c r="E494">
        <v>6</v>
      </c>
      <c r="F494">
        <v>0</v>
      </c>
      <c r="G494">
        <v>563</v>
      </c>
      <c r="H494">
        <v>562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 t="s">
        <v>24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</row>
    <row r="495" spans="1:21" x14ac:dyDescent="0.25">
      <c r="A495">
        <v>563</v>
      </c>
      <c r="B495" t="s">
        <v>23</v>
      </c>
      <c r="D495">
        <v>1</v>
      </c>
      <c r="E495">
        <v>6</v>
      </c>
      <c r="F495">
        <v>0</v>
      </c>
      <c r="G495">
        <v>564</v>
      </c>
      <c r="H495">
        <v>563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 t="s">
        <v>24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</row>
    <row r="496" spans="1:21" x14ac:dyDescent="0.25">
      <c r="A496">
        <v>564</v>
      </c>
      <c r="B496" t="s">
        <v>23</v>
      </c>
      <c r="D496">
        <v>1</v>
      </c>
      <c r="E496">
        <v>6</v>
      </c>
      <c r="F496">
        <v>0</v>
      </c>
      <c r="G496">
        <v>565</v>
      </c>
      <c r="H496">
        <v>564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 t="s">
        <v>24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</row>
    <row r="497" spans="1:21" x14ac:dyDescent="0.25">
      <c r="A497">
        <v>565</v>
      </c>
      <c r="B497" t="s">
        <v>23</v>
      </c>
      <c r="D497">
        <v>1</v>
      </c>
      <c r="E497">
        <v>6</v>
      </c>
      <c r="F497">
        <v>0</v>
      </c>
      <c r="G497">
        <v>566</v>
      </c>
      <c r="H497">
        <v>565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 t="s">
        <v>24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</row>
    <row r="498" spans="1:21" x14ac:dyDescent="0.25">
      <c r="A498">
        <v>566</v>
      </c>
      <c r="B498" t="s">
        <v>23</v>
      </c>
      <c r="D498">
        <v>1</v>
      </c>
      <c r="E498">
        <v>6</v>
      </c>
      <c r="F498">
        <v>0</v>
      </c>
      <c r="G498">
        <v>567</v>
      </c>
      <c r="H498">
        <v>566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 t="s">
        <v>24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</row>
    <row r="499" spans="1:21" x14ac:dyDescent="0.25">
      <c r="A499">
        <v>567</v>
      </c>
      <c r="B499" t="s">
        <v>23</v>
      </c>
      <c r="D499">
        <v>1</v>
      </c>
      <c r="E499">
        <v>6</v>
      </c>
      <c r="F499">
        <v>0</v>
      </c>
      <c r="G499">
        <v>568</v>
      </c>
      <c r="H499">
        <v>567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 t="s">
        <v>24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</row>
    <row r="500" spans="1:21" x14ac:dyDescent="0.25">
      <c r="A500">
        <v>568</v>
      </c>
      <c r="B500" t="s">
        <v>23</v>
      </c>
      <c r="D500">
        <v>1</v>
      </c>
      <c r="E500">
        <v>6</v>
      </c>
      <c r="F500">
        <v>0</v>
      </c>
      <c r="G500">
        <v>569</v>
      </c>
      <c r="H500">
        <v>568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 t="s">
        <v>24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</row>
    <row r="501" spans="1:21" x14ac:dyDescent="0.25">
      <c r="A501">
        <v>569</v>
      </c>
      <c r="B501" t="s">
        <v>23</v>
      </c>
      <c r="D501">
        <v>1</v>
      </c>
      <c r="E501">
        <v>6</v>
      </c>
      <c r="F501">
        <v>0</v>
      </c>
      <c r="G501">
        <v>570</v>
      </c>
      <c r="H501">
        <v>569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 t="s">
        <v>24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</row>
    <row r="502" spans="1:21" x14ac:dyDescent="0.25">
      <c r="A502">
        <v>570</v>
      </c>
      <c r="B502" t="s">
        <v>23</v>
      </c>
      <c r="D502">
        <v>1</v>
      </c>
      <c r="E502">
        <v>6</v>
      </c>
      <c r="F502">
        <v>0</v>
      </c>
      <c r="G502">
        <v>571</v>
      </c>
      <c r="H502">
        <v>570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 t="s">
        <v>24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</row>
    <row r="503" spans="1:21" x14ac:dyDescent="0.25">
      <c r="A503">
        <v>571</v>
      </c>
      <c r="B503" t="s">
        <v>23</v>
      </c>
      <c r="D503">
        <v>1</v>
      </c>
      <c r="E503">
        <v>6</v>
      </c>
      <c r="F503">
        <v>0</v>
      </c>
      <c r="G503">
        <v>572</v>
      </c>
      <c r="H503">
        <v>571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 t="s">
        <v>24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</row>
    <row r="504" spans="1:21" x14ac:dyDescent="0.25">
      <c r="A504">
        <v>572</v>
      </c>
      <c r="B504" t="s">
        <v>23</v>
      </c>
      <c r="D504">
        <v>1</v>
      </c>
      <c r="E504">
        <v>6</v>
      </c>
      <c r="F504">
        <v>0</v>
      </c>
      <c r="G504">
        <v>573</v>
      </c>
      <c r="H504">
        <v>572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 t="s">
        <v>24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</row>
    <row r="505" spans="1:21" x14ac:dyDescent="0.25">
      <c r="A505">
        <v>573</v>
      </c>
      <c r="B505" t="s">
        <v>23</v>
      </c>
      <c r="D505">
        <v>1</v>
      </c>
      <c r="E505">
        <v>7</v>
      </c>
      <c r="F505">
        <v>0</v>
      </c>
      <c r="G505">
        <v>574</v>
      </c>
      <c r="H505">
        <v>573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 t="s">
        <v>24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</row>
    <row r="506" spans="1:21" x14ac:dyDescent="0.25">
      <c r="A506">
        <v>574</v>
      </c>
      <c r="B506" t="s">
        <v>23</v>
      </c>
      <c r="D506">
        <v>1</v>
      </c>
      <c r="E506">
        <v>7</v>
      </c>
      <c r="F506">
        <v>0</v>
      </c>
      <c r="G506">
        <v>575</v>
      </c>
      <c r="H506">
        <v>574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 t="s">
        <v>24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</row>
    <row r="507" spans="1:21" x14ac:dyDescent="0.25">
      <c r="A507">
        <v>575</v>
      </c>
      <c r="B507" t="s">
        <v>23</v>
      </c>
      <c r="D507">
        <v>1</v>
      </c>
      <c r="E507">
        <v>7</v>
      </c>
      <c r="F507">
        <v>0</v>
      </c>
      <c r="G507">
        <v>576</v>
      </c>
      <c r="H507">
        <v>575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 t="s">
        <v>24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</row>
    <row r="508" spans="1:21" x14ac:dyDescent="0.25">
      <c r="A508">
        <v>576</v>
      </c>
      <c r="B508" t="s">
        <v>23</v>
      </c>
      <c r="D508">
        <v>1</v>
      </c>
      <c r="E508">
        <v>7</v>
      </c>
      <c r="F508">
        <v>0</v>
      </c>
      <c r="G508">
        <v>577</v>
      </c>
      <c r="H508">
        <v>576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 t="s">
        <v>24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</row>
    <row r="509" spans="1:21" x14ac:dyDescent="0.25">
      <c r="A509">
        <v>577</v>
      </c>
      <c r="B509" t="s">
        <v>23</v>
      </c>
      <c r="D509">
        <v>1</v>
      </c>
      <c r="E509">
        <v>7</v>
      </c>
      <c r="F509">
        <v>0</v>
      </c>
      <c r="G509">
        <v>578</v>
      </c>
      <c r="H509">
        <v>577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 t="s">
        <v>24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</row>
    <row r="510" spans="1:21" x14ac:dyDescent="0.25">
      <c r="A510">
        <v>578</v>
      </c>
      <c r="B510" t="s">
        <v>23</v>
      </c>
      <c r="D510">
        <v>1</v>
      </c>
      <c r="E510">
        <v>7</v>
      </c>
      <c r="F510">
        <v>0</v>
      </c>
      <c r="G510">
        <v>579</v>
      </c>
      <c r="H510">
        <v>578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 t="s">
        <v>24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</row>
    <row r="511" spans="1:21" x14ac:dyDescent="0.25">
      <c r="A511">
        <v>579</v>
      </c>
      <c r="B511" t="s">
        <v>23</v>
      </c>
      <c r="D511">
        <v>1</v>
      </c>
      <c r="E511">
        <v>7</v>
      </c>
      <c r="F511">
        <v>0</v>
      </c>
      <c r="G511">
        <v>580</v>
      </c>
      <c r="H511">
        <v>579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 t="s">
        <v>24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</row>
    <row r="512" spans="1:21" x14ac:dyDescent="0.25">
      <c r="A512">
        <v>580</v>
      </c>
      <c r="B512" t="s">
        <v>23</v>
      </c>
      <c r="D512">
        <v>1</v>
      </c>
      <c r="E512">
        <v>7</v>
      </c>
      <c r="F512">
        <v>0</v>
      </c>
      <c r="G512">
        <v>581</v>
      </c>
      <c r="H512">
        <v>580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 t="s">
        <v>24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</row>
    <row r="513" spans="1:21" x14ac:dyDescent="0.25">
      <c r="A513">
        <v>581</v>
      </c>
      <c r="B513" t="s">
        <v>23</v>
      </c>
      <c r="D513">
        <v>1</v>
      </c>
      <c r="E513">
        <v>7</v>
      </c>
      <c r="F513">
        <v>0</v>
      </c>
      <c r="G513">
        <v>582</v>
      </c>
      <c r="H513">
        <v>581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 t="s">
        <v>24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</row>
    <row r="514" spans="1:21" x14ac:dyDescent="0.25">
      <c r="A514">
        <v>582</v>
      </c>
      <c r="B514" t="s">
        <v>23</v>
      </c>
      <c r="D514">
        <v>1</v>
      </c>
      <c r="E514">
        <v>7</v>
      </c>
      <c r="F514">
        <v>0</v>
      </c>
      <c r="G514">
        <v>583</v>
      </c>
      <c r="H514">
        <v>582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 t="s">
        <v>24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</row>
    <row r="515" spans="1:21" x14ac:dyDescent="0.25">
      <c r="A515">
        <v>583</v>
      </c>
      <c r="B515" t="s">
        <v>23</v>
      </c>
      <c r="D515">
        <v>1</v>
      </c>
      <c r="E515">
        <v>7</v>
      </c>
      <c r="F515">
        <v>0</v>
      </c>
      <c r="G515">
        <v>584</v>
      </c>
      <c r="H515">
        <v>583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 t="s">
        <v>24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</row>
    <row r="516" spans="1:21" x14ac:dyDescent="0.25">
      <c r="A516">
        <v>584</v>
      </c>
      <c r="B516" t="s">
        <v>23</v>
      </c>
      <c r="D516">
        <v>1</v>
      </c>
      <c r="E516">
        <v>7</v>
      </c>
      <c r="F516">
        <v>0</v>
      </c>
      <c r="G516">
        <v>585</v>
      </c>
      <c r="H516">
        <v>584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 t="s">
        <v>24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</row>
    <row r="517" spans="1:21" x14ac:dyDescent="0.25">
      <c r="A517">
        <v>585</v>
      </c>
      <c r="B517" t="s">
        <v>23</v>
      </c>
      <c r="D517">
        <v>1</v>
      </c>
      <c r="E517">
        <v>7</v>
      </c>
      <c r="F517">
        <v>0</v>
      </c>
      <c r="G517">
        <v>586</v>
      </c>
      <c r="H517">
        <v>585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 t="s">
        <v>24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</row>
    <row r="518" spans="1:21" x14ac:dyDescent="0.25">
      <c r="A518">
        <v>586</v>
      </c>
      <c r="B518" t="s">
        <v>23</v>
      </c>
      <c r="D518">
        <v>1</v>
      </c>
      <c r="E518">
        <v>8</v>
      </c>
      <c r="F518">
        <v>0</v>
      </c>
      <c r="G518">
        <v>587</v>
      </c>
      <c r="H518">
        <v>586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 t="s">
        <v>24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</row>
    <row r="519" spans="1:21" x14ac:dyDescent="0.25">
      <c r="A519">
        <v>587</v>
      </c>
      <c r="B519" t="s">
        <v>23</v>
      </c>
      <c r="D519">
        <v>1</v>
      </c>
      <c r="E519">
        <v>8</v>
      </c>
      <c r="F519">
        <v>0</v>
      </c>
      <c r="G519">
        <v>588</v>
      </c>
      <c r="H519">
        <v>587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 t="s">
        <v>24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</row>
    <row r="520" spans="1:21" x14ac:dyDescent="0.25">
      <c r="A520">
        <v>588</v>
      </c>
      <c r="B520" t="s">
        <v>23</v>
      </c>
      <c r="D520">
        <v>1</v>
      </c>
      <c r="E520">
        <v>8</v>
      </c>
      <c r="F520">
        <v>0</v>
      </c>
      <c r="G520">
        <v>589</v>
      </c>
      <c r="H520">
        <v>588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 t="s">
        <v>24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</row>
    <row r="521" spans="1:21" x14ac:dyDescent="0.25">
      <c r="A521">
        <v>589</v>
      </c>
      <c r="B521" t="s">
        <v>23</v>
      </c>
      <c r="D521">
        <v>1</v>
      </c>
      <c r="E521">
        <v>8</v>
      </c>
      <c r="F521">
        <v>0</v>
      </c>
      <c r="G521">
        <v>590</v>
      </c>
      <c r="H521">
        <v>589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 t="s">
        <v>24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</row>
    <row r="522" spans="1:21" x14ac:dyDescent="0.25">
      <c r="A522">
        <v>590</v>
      </c>
      <c r="B522" t="s">
        <v>23</v>
      </c>
      <c r="D522">
        <v>1</v>
      </c>
      <c r="E522">
        <v>8</v>
      </c>
      <c r="F522">
        <v>0</v>
      </c>
      <c r="G522">
        <v>591</v>
      </c>
      <c r="H522">
        <v>590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 t="s">
        <v>24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</row>
    <row r="523" spans="1:21" x14ac:dyDescent="0.25">
      <c r="A523">
        <v>591</v>
      </c>
      <c r="B523" t="s">
        <v>23</v>
      </c>
      <c r="D523">
        <v>1</v>
      </c>
      <c r="E523">
        <v>8</v>
      </c>
      <c r="F523">
        <v>0</v>
      </c>
      <c r="G523">
        <v>592</v>
      </c>
      <c r="H523">
        <v>591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 t="s">
        <v>24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</row>
    <row r="524" spans="1:21" x14ac:dyDescent="0.25">
      <c r="A524">
        <v>592</v>
      </c>
      <c r="B524" t="s">
        <v>23</v>
      </c>
      <c r="D524">
        <v>1</v>
      </c>
      <c r="E524">
        <v>8</v>
      </c>
      <c r="F524">
        <v>0</v>
      </c>
      <c r="G524">
        <v>593</v>
      </c>
      <c r="H524">
        <v>592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 t="s">
        <v>24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</row>
    <row r="525" spans="1:21" x14ac:dyDescent="0.25">
      <c r="A525">
        <v>593</v>
      </c>
      <c r="B525" t="s">
        <v>23</v>
      </c>
      <c r="D525">
        <v>1</v>
      </c>
      <c r="E525">
        <v>8</v>
      </c>
      <c r="F525">
        <v>0</v>
      </c>
      <c r="G525">
        <v>594</v>
      </c>
      <c r="H525">
        <v>593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 t="s">
        <v>24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</row>
    <row r="526" spans="1:21" x14ac:dyDescent="0.25">
      <c r="A526">
        <v>594</v>
      </c>
      <c r="B526" t="s">
        <v>23</v>
      </c>
      <c r="D526">
        <v>1</v>
      </c>
      <c r="E526">
        <v>8</v>
      </c>
      <c r="F526">
        <v>0</v>
      </c>
      <c r="G526">
        <v>595</v>
      </c>
      <c r="H526">
        <v>594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 t="s">
        <v>24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</row>
    <row r="527" spans="1:21" x14ac:dyDescent="0.25">
      <c r="A527">
        <v>595</v>
      </c>
      <c r="B527" t="s">
        <v>23</v>
      </c>
      <c r="D527">
        <v>1</v>
      </c>
      <c r="E527">
        <v>8</v>
      </c>
      <c r="F527">
        <v>0</v>
      </c>
      <c r="G527">
        <v>596</v>
      </c>
      <c r="H527">
        <v>595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 t="s">
        <v>24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</row>
    <row r="528" spans="1:21" x14ac:dyDescent="0.25">
      <c r="A528">
        <v>596</v>
      </c>
      <c r="B528" t="s">
        <v>23</v>
      </c>
      <c r="D528">
        <v>1</v>
      </c>
      <c r="E528">
        <v>8</v>
      </c>
      <c r="F528">
        <v>0</v>
      </c>
      <c r="G528">
        <v>597</v>
      </c>
      <c r="H528">
        <v>596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 t="s">
        <v>24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</row>
    <row r="529" spans="1:21" x14ac:dyDescent="0.25">
      <c r="A529">
        <v>597</v>
      </c>
      <c r="B529" t="s">
        <v>23</v>
      </c>
      <c r="D529">
        <v>1</v>
      </c>
      <c r="E529">
        <v>8</v>
      </c>
      <c r="F529">
        <v>0</v>
      </c>
      <c r="G529">
        <v>598</v>
      </c>
      <c r="H529">
        <v>597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 t="s">
        <v>24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</row>
    <row r="530" spans="1:21" x14ac:dyDescent="0.25">
      <c r="A530">
        <v>598</v>
      </c>
      <c r="B530" t="s">
        <v>23</v>
      </c>
      <c r="D530">
        <v>1</v>
      </c>
      <c r="E530">
        <v>8</v>
      </c>
      <c r="F530">
        <v>0</v>
      </c>
      <c r="G530">
        <v>599</v>
      </c>
      <c r="H530">
        <v>598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 t="s">
        <v>24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</row>
    <row r="531" spans="1:21" x14ac:dyDescent="0.25">
      <c r="A531">
        <v>599</v>
      </c>
      <c r="B531" t="s">
        <v>23</v>
      </c>
      <c r="D531">
        <v>1</v>
      </c>
      <c r="E531">
        <v>13</v>
      </c>
      <c r="F531">
        <v>0</v>
      </c>
      <c r="G531">
        <v>600</v>
      </c>
      <c r="H531">
        <v>599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 t="s">
        <v>24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</row>
    <row r="532" spans="1:21" x14ac:dyDescent="0.25">
      <c r="A532">
        <v>600</v>
      </c>
      <c r="B532" t="s">
        <v>23</v>
      </c>
      <c r="D532">
        <v>1</v>
      </c>
      <c r="E532">
        <v>13</v>
      </c>
      <c r="F532">
        <v>0</v>
      </c>
      <c r="G532">
        <v>601</v>
      </c>
      <c r="H532">
        <v>600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 t="s">
        <v>24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</row>
    <row r="533" spans="1:21" x14ac:dyDescent="0.25">
      <c r="A533">
        <v>601</v>
      </c>
      <c r="B533" t="s">
        <v>23</v>
      </c>
      <c r="D533">
        <v>1</v>
      </c>
      <c r="E533">
        <v>13</v>
      </c>
      <c r="F533">
        <v>0</v>
      </c>
      <c r="G533">
        <v>602</v>
      </c>
      <c r="H533">
        <v>601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 t="s">
        <v>24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</row>
    <row r="534" spans="1:21" x14ac:dyDescent="0.25">
      <c r="A534">
        <v>602</v>
      </c>
      <c r="B534" t="s">
        <v>23</v>
      </c>
      <c r="D534">
        <v>1</v>
      </c>
      <c r="E534">
        <v>13</v>
      </c>
      <c r="F534">
        <v>0</v>
      </c>
      <c r="G534">
        <v>603</v>
      </c>
      <c r="H534">
        <v>602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 t="s">
        <v>24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</row>
    <row r="535" spans="1:21" x14ac:dyDescent="0.25">
      <c r="A535">
        <v>603</v>
      </c>
      <c r="B535" t="s">
        <v>23</v>
      </c>
      <c r="D535">
        <v>1</v>
      </c>
      <c r="E535">
        <v>13</v>
      </c>
      <c r="F535">
        <v>0</v>
      </c>
      <c r="G535">
        <v>604</v>
      </c>
      <c r="H535">
        <v>603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 t="s">
        <v>24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</row>
    <row r="536" spans="1:21" x14ac:dyDescent="0.25">
      <c r="A536">
        <v>604</v>
      </c>
      <c r="B536" t="s">
        <v>23</v>
      </c>
      <c r="D536">
        <v>1</v>
      </c>
      <c r="E536">
        <v>13</v>
      </c>
      <c r="F536">
        <v>0</v>
      </c>
      <c r="G536">
        <v>605</v>
      </c>
      <c r="H536">
        <v>604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 t="s">
        <v>24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</row>
    <row r="537" spans="1:21" x14ac:dyDescent="0.25">
      <c r="A537">
        <v>605</v>
      </c>
      <c r="B537" t="s">
        <v>23</v>
      </c>
      <c r="D537">
        <v>1</v>
      </c>
      <c r="E537">
        <v>13</v>
      </c>
      <c r="F537">
        <v>0</v>
      </c>
      <c r="G537">
        <v>606</v>
      </c>
      <c r="H537">
        <v>605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 t="s">
        <v>24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</row>
    <row r="538" spans="1:21" x14ac:dyDescent="0.25">
      <c r="A538">
        <v>606</v>
      </c>
      <c r="B538" t="s">
        <v>23</v>
      </c>
      <c r="D538">
        <v>1</v>
      </c>
      <c r="E538">
        <v>13</v>
      </c>
      <c r="F538">
        <v>0</v>
      </c>
      <c r="G538">
        <v>607</v>
      </c>
      <c r="H538">
        <v>606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 t="s">
        <v>24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</row>
    <row r="539" spans="1:21" x14ac:dyDescent="0.25">
      <c r="A539">
        <v>607</v>
      </c>
      <c r="B539" t="s">
        <v>23</v>
      </c>
      <c r="D539">
        <v>1</v>
      </c>
      <c r="E539">
        <v>13</v>
      </c>
      <c r="F539">
        <v>0</v>
      </c>
      <c r="G539">
        <v>608</v>
      </c>
      <c r="H539">
        <v>607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 t="s">
        <v>24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</row>
    <row r="540" spans="1:21" x14ac:dyDescent="0.25">
      <c r="A540">
        <v>608</v>
      </c>
      <c r="B540" t="s">
        <v>23</v>
      </c>
      <c r="D540">
        <v>1</v>
      </c>
      <c r="E540">
        <v>13</v>
      </c>
      <c r="F540">
        <v>0</v>
      </c>
      <c r="G540">
        <v>609</v>
      </c>
      <c r="H540">
        <v>608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 t="s">
        <v>24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</row>
    <row r="541" spans="1:21" x14ac:dyDescent="0.25">
      <c r="A541">
        <v>609</v>
      </c>
      <c r="B541" t="s">
        <v>23</v>
      </c>
      <c r="D541">
        <v>1</v>
      </c>
      <c r="E541">
        <v>13</v>
      </c>
      <c r="F541">
        <v>0</v>
      </c>
      <c r="G541">
        <v>610</v>
      </c>
      <c r="H541">
        <v>609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 t="s">
        <v>24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</row>
    <row r="542" spans="1:21" x14ac:dyDescent="0.25">
      <c r="A542">
        <v>610</v>
      </c>
      <c r="B542" t="s">
        <v>23</v>
      </c>
      <c r="D542">
        <v>1</v>
      </c>
      <c r="E542">
        <v>13</v>
      </c>
      <c r="F542">
        <v>0</v>
      </c>
      <c r="G542">
        <v>611</v>
      </c>
      <c r="H542">
        <v>610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 t="s">
        <v>24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</row>
    <row r="543" spans="1:21" x14ac:dyDescent="0.25">
      <c r="A543">
        <v>611</v>
      </c>
      <c r="B543" t="s">
        <v>23</v>
      </c>
      <c r="D543">
        <v>1</v>
      </c>
      <c r="E543">
        <v>13</v>
      </c>
      <c r="F543">
        <v>0</v>
      </c>
      <c r="G543">
        <v>612</v>
      </c>
      <c r="H543">
        <v>611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 t="s">
        <v>24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</row>
    <row r="544" spans="1:21" x14ac:dyDescent="0.25">
      <c r="A544">
        <v>612</v>
      </c>
      <c r="B544" t="s">
        <v>23</v>
      </c>
      <c r="D544">
        <v>1</v>
      </c>
      <c r="E544">
        <v>14</v>
      </c>
      <c r="F544">
        <v>0</v>
      </c>
      <c r="G544">
        <v>613</v>
      </c>
      <c r="H544">
        <v>612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 t="s">
        <v>24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</row>
    <row r="545" spans="1:21" x14ac:dyDescent="0.25">
      <c r="A545">
        <v>613</v>
      </c>
      <c r="B545" t="s">
        <v>23</v>
      </c>
      <c r="D545">
        <v>1</v>
      </c>
      <c r="E545">
        <v>14</v>
      </c>
      <c r="F545">
        <v>0</v>
      </c>
      <c r="G545">
        <v>614</v>
      </c>
      <c r="H545">
        <v>613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 t="s">
        <v>24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</row>
    <row r="546" spans="1:21" x14ac:dyDescent="0.25">
      <c r="A546">
        <v>614</v>
      </c>
      <c r="B546" t="s">
        <v>23</v>
      </c>
      <c r="D546">
        <v>1</v>
      </c>
      <c r="E546">
        <v>14</v>
      </c>
      <c r="F546">
        <v>0</v>
      </c>
      <c r="G546">
        <v>615</v>
      </c>
      <c r="H546">
        <v>614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 t="s">
        <v>24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</row>
    <row r="547" spans="1:21" x14ac:dyDescent="0.25">
      <c r="A547">
        <v>615</v>
      </c>
      <c r="B547" t="s">
        <v>23</v>
      </c>
      <c r="D547">
        <v>1</v>
      </c>
      <c r="E547">
        <v>14</v>
      </c>
      <c r="F547">
        <v>0</v>
      </c>
      <c r="G547">
        <v>616</v>
      </c>
      <c r="H547">
        <v>615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 t="s">
        <v>24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</row>
    <row r="548" spans="1:21" x14ac:dyDescent="0.25">
      <c r="A548">
        <v>616</v>
      </c>
      <c r="B548" t="s">
        <v>23</v>
      </c>
      <c r="D548">
        <v>1</v>
      </c>
      <c r="E548">
        <v>14</v>
      </c>
      <c r="F548">
        <v>0</v>
      </c>
      <c r="G548">
        <v>617</v>
      </c>
      <c r="H548">
        <v>616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 t="s">
        <v>24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</row>
    <row r="549" spans="1:21" x14ac:dyDescent="0.25">
      <c r="A549">
        <v>617</v>
      </c>
      <c r="B549" t="s">
        <v>23</v>
      </c>
      <c r="D549">
        <v>1</v>
      </c>
      <c r="E549">
        <v>14</v>
      </c>
      <c r="F549">
        <v>0</v>
      </c>
      <c r="G549">
        <v>618</v>
      </c>
      <c r="H549">
        <v>617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 t="s">
        <v>24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</row>
    <row r="550" spans="1:21" x14ac:dyDescent="0.25">
      <c r="A550">
        <v>618</v>
      </c>
      <c r="B550" t="s">
        <v>23</v>
      </c>
      <c r="D550">
        <v>1</v>
      </c>
      <c r="E550">
        <v>14</v>
      </c>
      <c r="F550">
        <v>0</v>
      </c>
      <c r="G550">
        <v>619</v>
      </c>
      <c r="H550">
        <v>618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 t="s">
        <v>24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</row>
    <row r="551" spans="1:21" x14ac:dyDescent="0.25">
      <c r="A551">
        <v>619</v>
      </c>
      <c r="B551" t="s">
        <v>23</v>
      </c>
      <c r="D551">
        <v>1</v>
      </c>
      <c r="E551">
        <v>14</v>
      </c>
      <c r="F551">
        <v>0</v>
      </c>
      <c r="G551">
        <v>620</v>
      </c>
      <c r="H551">
        <v>619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 t="s">
        <v>24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</row>
    <row r="552" spans="1:21" x14ac:dyDescent="0.25">
      <c r="A552">
        <v>620</v>
      </c>
      <c r="B552" t="s">
        <v>23</v>
      </c>
      <c r="D552">
        <v>1</v>
      </c>
      <c r="E552">
        <v>14</v>
      </c>
      <c r="F552">
        <v>0</v>
      </c>
      <c r="G552">
        <v>621</v>
      </c>
      <c r="H552">
        <v>620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 t="s">
        <v>24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</row>
    <row r="553" spans="1:21" x14ac:dyDescent="0.25">
      <c r="A553">
        <v>621</v>
      </c>
      <c r="B553" t="s">
        <v>23</v>
      </c>
      <c r="D553">
        <v>1</v>
      </c>
      <c r="E553">
        <v>14</v>
      </c>
      <c r="F553">
        <v>0</v>
      </c>
      <c r="G553">
        <v>622</v>
      </c>
      <c r="H553">
        <v>621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 t="s">
        <v>24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</row>
    <row r="554" spans="1:21" x14ac:dyDescent="0.25">
      <c r="A554">
        <v>622</v>
      </c>
      <c r="B554" t="s">
        <v>23</v>
      </c>
      <c r="D554">
        <v>1</v>
      </c>
      <c r="E554">
        <v>14</v>
      </c>
      <c r="F554">
        <v>0</v>
      </c>
      <c r="G554">
        <v>623</v>
      </c>
      <c r="H554">
        <v>622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 t="s">
        <v>24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</row>
    <row r="555" spans="1:21" x14ac:dyDescent="0.25">
      <c r="A555">
        <v>623</v>
      </c>
      <c r="B555" t="s">
        <v>23</v>
      </c>
      <c r="D555">
        <v>1</v>
      </c>
      <c r="E555">
        <v>14</v>
      </c>
      <c r="F555">
        <v>0</v>
      </c>
      <c r="G555">
        <v>624</v>
      </c>
      <c r="H555">
        <v>623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 t="s">
        <v>24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</row>
    <row r="556" spans="1:21" x14ac:dyDescent="0.25">
      <c r="A556">
        <v>624</v>
      </c>
      <c r="B556" t="s">
        <v>23</v>
      </c>
      <c r="D556">
        <v>1</v>
      </c>
      <c r="E556">
        <v>14</v>
      </c>
      <c r="F556">
        <v>0</v>
      </c>
      <c r="G556">
        <v>625</v>
      </c>
      <c r="H556">
        <v>624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 t="s">
        <v>24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</row>
    <row r="557" spans="1:21" x14ac:dyDescent="0.25">
      <c r="A557">
        <v>625</v>
      </c>
      <c r="B557" t="s">
        <v>23</v>
      </c>
      <c r="D557">
        <v>1</v>
      </c>
      <c r="E557">
        <v>15</v>
      </c>
      <c r="F557">
        <v>0</v>
      </c>
      <c r="G557">
        <v>626</v>
      </c>
      <c r="H557">
        <v>625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 t="s">
        <v>24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</row>
    <row r="558" spans="1:21" x14ac:dyDescent="0.25">
      <c r="A558">
        <v>626</v>
      </c>
      <c r="B558" t="s">
        <v>23</v>
      </c>
      <c r="D558">
        <v>1</v>
      </c>
      <c r="E558">
        <v>15</v>
      </c>
      <c r="F558">
        <v>0</v>
      </c>
      <c r="G558">
        <v>627</v>
      </c>
      <c r="H558">
        <v>626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 t="s">
        <v>24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</row>
    <row r="559" spans="1:21" x14ac:dyDescent="0.25">
      <c r="A559">
        <v>627</v>
      </c>
      <c r="B559" t="s">
        <v>23</v>
      </c>
      <c r="D559">
        <v>1</v>
      </c>
      <c r="E559">
        <v>15</v>
      </c>
      <c r="F559">
        <v>0</v>
      </c>
      <c r="G559">
        <v>628</v>
      </c>
      <c r="H559">
        <v>627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 t="s">
        <v>24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</row>
    <row r="560" spans="1:21" x14ac:dyDescent="0.25">
      <c r="A560">
        <v>628</v>
      </c>
      <c r="B560" t="s">
        <v>23</v>
      </c>
      <c r="D560">
        <v>1</v>
      </c>
      <c r="E560">
        <v>15</v>
      </c>
      <c r="F560">
        <v>0</v>
      </c>
      <c r="G560">
        <v>629</v>
      </c>
      <c r="H560">
        <v>628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 t="s">
        <v>24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</row>
    <row r="561" spans="1:21" x14ac:dyDescent="0.25">
      <c r="A561">
        <v>629</v>
      </c>
      <c r="B561" t="s">
        <v>23</v>
      </c>
      <c r="D561">
        <v>1</v>
      </c>
      <c r="E561">
        <v>15</v>
      </c>
      <c r="F561">
        <v>0</v>
      </c>
      <c r="G561">
        <v>630</v>
      </c>
      <c r="H561">
        <v>629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 t="s">
        <v>24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</row>
    <row r="562" spans="1:21" x14ac:dyDescent="0.25">
      <c r="A562">
        <v>630</v>
      </c>
      <c r="B562" t="s">
        <v>23</v>
      </c>
      <c r="D562">
        <v>1</v>
      </c>
      <c r="E562">
        <v>15</v>
      </c>
      <c r="F562">
        <v>0</v>
      </c>
      <c r="G562">
        <v>631</v>
      </c>
      <c r="H562">
        <v>630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 t="s">
        <v>24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</row>
    <row r="563" spans="1:21" x14ac:dyDescent="0.25">
      <c r="A563">
        <v>631</v>
      </c>
      <c r="B563" t="s">
        <v>23</v>
      </c>
      <c r="D563">
        <v>1</v>
      </c>
      <c r="E563">
        <v>15</v>
      </c>
      <c r="F563">
        <v>0</v>
      </c>
      <c r="G563">
        <v>632</v>
      </c>
      <c r="H563">
        <v>631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 t="s">
        <v>24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</row>
    <row r="564" spans="1:21" x14ac:dyDescent="0.25">
      <c r="A564">
        <v>632</v>
      </c>
      <c r="B564" t="s">
        <v>23</v>
      </c>
      <c r="D564">
        <v>1</v>
      </c>
      <c r="E564">
        <v>15</v>
      </c>
      <c r="F564">
        <v>0</v>
      </c>
      <c r="G564">
        <v>633</v>
      </c>
      <c r="H564">
        <v>632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 t="s">
        <v>24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</row>
    <row r="565" spans="1:21" x14ac:dyDescent="0.25">
      <c r="A565">
        <v>633</v>
      </c>
      <c r="B565" t="s">
        <v>23</v>
      </c>
      <c r="D565">
        <v>1</v>
      </c>
      <c r="E565">
        <v>15</v>
      </c>
      <c r="F565">
        <v>0</v>
      </c>
      <c r="G565">
        <v>634</v>
      </c>
      <c r="H565">
        <v>633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 t="s">
        <v>24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</row>
    <row r="566" spans="1:21" x14ac:dyDescent="0.25">
      <c r="A566">
        <v>634</v>
      </c>
      <c r="B566" t="s">
        <v>23</v>
      </c>
      <c r="D566">
        <v>1</v>
      </c>
      <c r="E566">
        <v>15</v>
      </c>
      <c r="F566">
        <v>0</v>
      </c>
      <c r="G566">
        <v>635</v>
      </c>
      <c r="H566">
        <v>634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 t="s">
        <v>24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</row>
    <row r="567" spans="1:21" x14ac:dyDescent="0.25">
      <c r="A567">
        <v>635</v>
      </c>
      <c r="B567" t="s">
        <v>23</v>
      </c>
      <c r="D567">
        <v>1</v>
      </c>
      <c r="E567">
        <v>15</v>
      </c>
      <c r="F567">
        <v>0</v>
      </c>
      <c r="G567">
        <v>636</v>
      </c>
      <c r="H567">
        <v>635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 t="s">
        <v>24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</row>
    <row r="568" spans="1:21" x14ac:dyDescent="0.25">
      <c r="A568">
        <v>636</v>
      </c>
      <c r="B568" t="s">
        <v>23</v>
      </c>
      <c r="D568">
        <v>1</v>
      </c>
      <c r="E568">
        <v>15</v>
      </c>
      <c r="F568">
        <v>0</v>
      </c>
      <c r="G568">
        <v>637</v>
      </c>
      <c r="H568">
        <v>636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 t="s">
        <v>24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</row>
    <row r="569" spans="1:21" x14ac:dyDescent="0.25">
      <c r="A569">
        <v>637</v>
      </c>
      <c r="B569" t="s">
        <v>23</v>
      </c>
      <c r="D569">
        <v>1</v>
      </c>
      <c r="E569">
        <v>15</v>
      </c>
      <c r="F569">
        <v>0</v>
      </c>
      <c r="G569">
        <v>638</v>
      </c>
      <c r="H569">
        <v>637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 t="s">
        <v>24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</row>
    <row r="570" spans="1:21" x14ac:dyDescent="0.25">
      <c r="A570">
        <v>638</v>
      </c>
      <c r="B570" t="s">
        <v>23</v>
      </c>
      <c r="D570">
        <v>1</v>
      </c>
      <c r="E570">
        <v>12</v>
      </c>
      <c r="F570">
        <v>0</v>
      </c>
      <c r="G570">
        <v>639</v>
      </c>
      <c r="H570">
        <v>638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 t="s">
        <v>24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</row>
    <row r="571" spans="1:21" x14ac:dyDescent="0.25">
      <c r="A571">
        <v>639</v>
      </c>
      <c r="B571" t="s">
        <v>23</v>
      </c>
      <c r="D571">
        <v>1</v>
      </c>
      <c r="E571">
        <v>12</v>
      </c>
      <c r="F571">
        <v>0</v>
      </c>
      <c r="G571">
        <v>640</v>
      </c>
      <c r="H571">
        <v>639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 t="s">
        <v>24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</row>
    <row r="572" spans="1:21" x14ac:dyDescent="0.25">
      <c r="A572">
        <v>640</v>
      </c>
      <c r="B572" t="s">
        <v>23</v>
      </c>
      <c r="D572">
        <v>1</v>
      </c>
      <c r="E572">
        <v>12</v>
      </c>
      <c r="F572">
        <v>0</v>
      </c>
      <c r="G572">
        <v>641</v>
      </c>
      <c r="H572">
        <v>640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 t="s">
        <v>24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</row>
    <row r="573" spans="1:21" x14ac:dyDescent="0.25">
      <c r="A573">
        <v>641</v>
      </c>
      <c r="B573" t="s">
        <v>23</v>
      </c>
      <c r="D573">
        <v>1</v>
      </c>
      <c r="E573">
        <v>12</v>
      </c>
      <c r="F573">
        <v>0</v>
      </c>
      <c r="G573">
        <v>642</v>
      </c>
      <c r="H573">
        <v>641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 t="s">
        <v>24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</row>
    <row r="574" spans="1:21" x14ac:dyDescent="0.25">
      <c r="A574">
        <v>642</v>
      </c>
      <c r="B574" t="s">
        <v>23</v>
      </c>
      <c r="D574">
        <v>1</v>
      </c>
      <c r="E574">
        <v>12</v>
      </c>
      <c r="F574">
        <v>0</v>
      </c>
      <c r="G574">
        <v>643</v>
      </c>
      <c r="H574">
        <v>642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 t="s">
        <v>24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</row>
    <row r="575" spans="1:21" x14ac:dyDescent="0.25">
      <c r="A575">
        <v>643</v>
      </c>
      <c r="B575" t="s">
        <v>23</v>
      </c>
      <c r="D575">
        <v>1</v>
      </c>
      <c r="E575">
        <v>12</v>
      </c>
      <c r="F575">
        <v>0</v>
      </c>
      <c r="G575">
        <v>644</v>
      </c>
      <c r="H575">
        <v>643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 t="s">
        <v>24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</row>
    <row r="576" spans="1:21" x14ac:dyDescent="0.25">
      <c r="A576">
        <v>644</v>
      </c>
      <c r="B576" t="s">
        <v>23</v>
      </c>
      <c r="D576">
        <v>1</v>
      </c>
      <c r="E576">
        <v>12</v>
      </c>
      <c r="F576">
        <v>0</v>
      </c>
      <c r="G576">
        <v>645</v>
      </c>
      <c r="H576">
        <v>644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 t="s">
        <v>24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</row>
    <row r="577" spans="1:21" x14ac:dyDescent="0.25">
      <c r="A577">
        <v>645</v>
      </c>
      <c r="B577" t="s">
        <v>23</v>
      </c>
      <c r="D577">
        <v>1</v>
      </c>
      <c r="E577">
        <v>12</v>
      </c>
      <c r="F577">
        <v>0</v>
      </c>
      <c r="G577">
        <v>646</v>
      </c>
      <c r="H577">
        <v>645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 t="s">
        <v>24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</row>
    <row r="578" spans="1:21" x14ac:dyDescent="0.25">
      <c r="A578">
        <v>646</v>
      </c>
      <c r="B578" t="s">
        <v>23</v>
      </c>
      <c r="D578">
        <v>1</v>
      </c>
      <c r="E578">
        <v>12</v>
      </c>
      <c r="F578">
        <v>0</v>
      </c>
      <c r="G578">
        <v>647</v>
      </c>
      <c r="H578">
        <v>646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 t="s">
        <v>24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</row>
    <row r="579" spans="1:21" x14ac:dyDescent="0.25">
      <c r="A579">
        <v>647</v>
      </c>
      <c r="B579" t="s">
        <v>23</v>
      </c>
      <c r="D579">
        <v>1</v>
      </c>
      <c r="E579">
        <v>12</v>
      </c>
      <c r="F579">
        <v>0</v>
      </c>
      <c r="G579">
        <v>648</v>
      </c>
      <c r="H579">
        <v>647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 t="s">
        <v>24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</row>
    <row r="580" spans="1:21" x14ac:dyDescent="0.25">
      <c r="A580">
        <v>648</v>
      </c>
      <c r="B580" t="s">
        <v>23</v>
      </c>
      <c r="D580">
        <v>1</v>
      </c>
      <c r="E580">
        <v>12</v>
      </c>
      <c r="F580">
        <v>0</v>
      </c>
      <c r="G580">
        <v>649</v>
      </c>
      <c r="H580">
        <v>648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 t="s">
        <v>24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</row>
    <row r="581" spans="1:21" x14ac:dyDescent="0.25">
      <c r="A581">
        <v>649</v>
      </c>
      <c r="B581" t="s">
        <v>23</v>
      </c>
      <c r="D581">
        <v>1</v>
      </c>
      <c r="E581">
        <v>12</v>
      </c>
      <c r="F581">
        <v>0</v>
      </c>
      <c r="G581">
        <v>650</v>
      </c>
      <c r="H581">
        <v>649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 t="s">
        <v>24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</row>
    <row r="582" spans="1:21" x14ac:dyDescent="0.25">
      <c r="A582">
        <v>650</v>
      </c>
      <c r="B582" t="s">
        <v>23</v>
      </c>
      <c r="D582">
        <v>1</v>
      </c>
      <c r="E582">
        <v>12</v>
      </c>
      <c r="F582">
        <v>0</v>
      </c>
      <c r="G582">
        <v>651</v>
      </c>
      <c r="H582">
        <v>650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 t="s">
        <v>24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</row>
    <row r="583" spans="1:21" x14ac:dyDescent="0.25">
      <c r="A583">
        <v>651</v>
      </c>
      <c r="B583" t="s">
        <v>23</v>
      </c>
      <c r="D583">
        <v>1</v>
      </c>
      <c r="E583">
        <v>12</v>
      </c>
      <c r="F583">
        <v>0</v>
      </c>
      <c r="G583">
        <v>652</v>
      </c>
      <c r="H583">
        <v>651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 t="s">
        <v>24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</row>
    <row r="584" spans="1:21" x14ac:dyDescent="0.25">
      <c r="A584">
        <v>652</v>
      </c>
      <c r="B584" t="s">
        <v>23</v>
      </c>
      <c r="D584">
        <v>1</v>
      </c>
      <c r="E584">
        <v>12</v>
      </c>
      <c r="F584">
        <v>0</v>
      </c>
      <c r="G584">
        <v>653</v>
      </c>
      <c r="H584">
        <v>652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 t="s">
        <v>24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</row>
    <row r="585" spans="1:21" x14ac:dyDescent="0.25">
      <c r="A585">
        <v>653</v>
      </c>
      <c r="B585" t="s">
        <v>23</v>
      </c>
      <c r="D585">
        <v>1</v>
      </c>
      <c r="E585">
        <v>12</v>
      </c>
      <c r="F585">
        <v>0</v>
      </c>
      <c r="G585">
        <v>654</v>
      </c>
      <c r="H585">
        <v>653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 t="s">
        <v>24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</row>
    <row r="586" spans="1:21" x14ac:dyDescent="0.25">
      <c r="A586">
        <v>654</v>
      </c>
      <c r="B586" t="s">
        <v>23</v>
      </c>
      <c r="D586">
        <v>1</v>
      </c>
      <c r="E586">
        <v>12</v>
      </c>
      <c r="F586">
        <v>0</v>
      </c>
      <c r="G586">
        <v>655</v>
      </c>
      <c r="H586">
        <v>654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 t="s">
        <v>24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</row>
    <row r="587" spans="1:21" x14ac:dyDescent="0.25">
      <c r="A587">
        <v>655</v>
      </c>
      <c r="B587" t="s">
        <v>23</v>
      </c>
      <c r="D587">
        <v>1</v>
      </c>
      <c r="E587">
        <v>12</v>
      </c>
      <c r="F587">
        <v>0</v>
      </c>
      <c r="G587">
        <v>656</v>
      </c>
      <c r="H587">
        <v>655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 t="s">
        <v>24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</row>
    <row r="588" spans="1:21" x14ac:dyDescent="0.25">
      <c r="A588">
        <v>656</v>
      </c>
      <c r="B588" t="s">
        <v>23</v>
      </c>
      <c r="D588">
        <v>1</v>
      </c>
      <c r="E588">
        <v>12</v>
      </c>
      <c r="F588">
        <v>0</v>
      </c>
      <c r="G588">
        <v>657</v>
      </c>
      <c r="H588">
        <v>656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 t="s">
        <v>24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</row>
    <row r="589" spans="1:21" x14ac:dyDescent="0.25">
      <c r="A589">
        <v>657</v>
      </c>
      <c r="B589" t="s">
        <v>23</v>
      </c>
      <c r="D589">
        <v>1</v>
      </c>
      <c r="E589">
        <v>12</v>
      </c>
      <c r="F589">
        <v>0</v>
      </c>
      <c r="G589">
        <v>658</v>
      </c>
      <c r="H589">
        <v>657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 t="s">
        <v>24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</row>
    <row r="590" spans="1:21" x14ac:dyDescent="0.25">
      <c r="A590">
        <v>658</v>
      </c>
      <c r="B590" t="s">
        <v>23</v>
      </c>
      <c r="D590">
        <v>1</v>
      </c>
      <c r="E590">
        <v>12</v>
      </c>
      <c r="F590">
        <v>0</v>
      </c>
      <c r="G590">
        <v>659</v>
      </c>
      <c r="H590">
        <v>658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 t="s">
        <v>24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</row>
    <row r="591" spans="1:21" x14ac:dyDescent="0.25">
      <c r="A591">
        <v>659</v>
      </c>
      <c r="B591" t="s">
        <v>23</v>
      </c>
      <c r="D591">
        <v>1</v>
      </c>
      <c r="E591">
        <v>12</v>
      </c>
      <c r="F591">
        <v>0</v>
      </c>
      <c r="G591">
        <v>660</v>
      </c>
      <c r="H591">
        <v>659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 t="s">
        <v>24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</row>
    <row r="592" spans="1:21" x14ac:dyDescent="0.25">
      <c r="A592">
        <v>660</v>
      </c>
      <c r="B592" t="s">
        <v>23</v>
      </c>
      <c r="D592">
        <v>1</v>
      </c>
      <c r="E592">
        <v>12</v>
      </c>
      <c r="F592">
        <v>0</v>
      </c>
      <c r="G592">
        <v>661</v>
      </c>
      <c r="H592">
        <v>660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 t="s">
        <v>24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</row>
    <row r="593" spans="1:21" x14ac:dyDescent="0.25">
      <c r="A593">
        <v>661</v>
      </c>
      <c r="B593" t="s">
        <v>23</v>
      </c>
      <c r="D593">
        <v>1</v>
      </c>
      <c r="E593">
        <v>12</v>
      </c>
      <c r="F593">
        <v>0</v>
      </c>
      <c r="G593">
        <v>662</v>
      </c>
      <c r="H593">
        <v>661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 t="s">
        <v>24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</row>
    <row r="594" spans="1:21" x14ac:dyDescent="0.25">
      <c r="A594">
        <v>662</v>
      </c>
      <c r="B594" t="s">
        <v>23</v>
      </c>
      <c r="D594">
        <v>1</v>
      </c>
      <c r="E594">
        <v>12</v>
      </c>
      <c r="F594">
        <v>0</v>
      </c>
      <c r="G594">
        <v>663</v>
      </c>
      <c r="H594">
        <v>662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 t="s">
        <v>24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</row>
    <row r="595" spans="1:21" x14ac:dyDescent="0.25">
      <c r="A595">
        <v>663</v>
      </c>
      <c r="B595" t="s">
        <v>23</v>
      </c>
      <c r="D595">
        <v>1</v>
      </c>
      <c r="E595">
        <v>12</v>
      </c>
      <c r="F595">
        <v>0</v>
      </c>
      <c r="G595">
        <v>664</v>
      </c>
      <c r="H595">
        <v>663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 t="s">
        <v>24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</row>
    <row r="596" spans="1:21" x14ac:dyDescent="0.25">
      <c r="A596">
        <v>664</v>
      </c>
      <c r="B596" t="s">
        <v>23</v>
      </c>
      <c r="D596">
        <v>1</v>
      </c>
      <c r="E596">
        <v>11</v>
      </c>
      <c r="F596">
        <v>0</v>
      </c>
      <c r="G596">
        <v>665</v>
      </c>
      <c r="H596">
        <v>664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 t="s">
        <v>24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</row>
    <row r="597" spans="1:21" x14ac:dyDescent="0.25">
      <c r="A597">
        <v>665</v>
      </c>
      <c r="B597" t="s">
        <v>23</v>
      </c>
      <c r="D597">
        <v>1</v>
      </c>
      <c r="E597">
        <v>11</v>
      </c>
      <c r="F597">
        <v>0</v>
      </c>
      <c r="G597">
        <v>666</v>
      </c>
      <c r="H597">
        <v>665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 t="s">
        <v>24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</row>
    <row r="598" spans="1:21" x14ac:dyDescent="0.25">
      <c r="A598">
        <v>666</v>
      </c>
      <c r="B598" t="s">
        <v>23</v>
      </c>
      <c r="D598">
        <v>1</v>
      </c>
      <c r="E598">
        <v>11</v>
      </c>
      <c r="F598">
        <v>0</v>
      </c>
      <c r="G598">
        <v>667</v>
      </c>
      <c r="H598">
        <v>666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 t="s">
        <v>24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</row>
    <row r="599" spans="1:21" x14ac:dyDescent="0.25">
      <c r="A599">
        <v>667</v>
      </c>
      <c r="B599" t="s">
        <v>23</v>
      </c>
      <c r="D599">
        <v>1</v>
      </c>
      <c r="E599">
        <v>11</v>
      </c>
      <c r="F599">
        <v>0</v>
      </c>
      <c r="G599">
        <v>668</v>
      </c>
      <c r="H599">
        <v>667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 t="s">
        <v>24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</row>
    <row r="600" spans="1:21" x14ac:dyDescent="0.25">
      <c r="A600">
        <v>668</v>
      </c>
      <c r="B600" t="s">
        <v>23</v>
      </c>
      <c r="D600">
        <v>1</v>
      </c>
      <c r="E600">
        <v>11</v>
      </c>
      <c r="F600">
        <v>0</v>
      </c>
      <c r="G600">
        <v>669</v>
      </c>
      <c r="H600">
        <v>668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 t="s">
        <v>24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</row>
    <row r="601" spans="1:21" x14ac:dyDescent="0.25">
      <c r="A601">
        <v>669</v>
      </c>
      <c r="B601" t="s">
        <v>23</v>
      </c>
      <c r="D601">
        <v>1</v>
      </c>
      <c r="E601">
        <v>11</v>
      </c>
      <c r="F601">
        <v>0</v>
      </c>
      <c r="G601">
        <v>670</v>
      </c>
      <c r="H601">
        <v>669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 t="s">
        <v>24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</row>
    <row r="602" spans="1:21" x14ac:dyDescent="0.25">
      <c r="A602">
        <v>670</v>
      </c>
      <c r="B602" t="s">
        <v>23</v>
      </c>
      <c r="D602">
        <v>1</v>
      </c>
      <c r="E602">
        <v>11</v>
      </c>
      <c r="F602">
        <v>0</v>
      </c>
      <c r="G602">
        <v>671</v>
      </c>
      <c r="H602">
        <v>670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 t="s">
        <v>24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</row>
    <row r="603" spans="1:21" x14ac:dyDescent="0.25">
      <c r="A603">
        <v>671</v>
      </c>
      <c r="B603" t="s">
        <v>23</v>
      </c>
      <c r="D603">
        <v>1</v>
      </c>
      <c r="E603">
        <v>11</v>
      </c>
      <c r="F603">
        <v>0</v>
      </c>
      <c r="G603">
        <v>672</v>
      </c>
      <c r="H603">
        <v>671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 t="s">
        <v>24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</row>
    <row r="604" spans="1:21" x14ac:dyDescent="0.25">
      <c r="A604">
        <v>672</v>
      </c>
      <c r="B604" t="s">
        <v>23</v>
      </c>
      <c r="D604">
        <v>1</v>
      </c>
      <c r="E604">
        <v>11</v>
      </c>
      <c r="F604">
        <v>0</v>
      </c>
      <c r="G604">
        <v>673</v>
      </c>
      <c r="H604">
        <v>672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 t="s">
        <v>24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</row>
    <row r="605" spans="1:21" x14ac:dyDescent="0.25">
      <c r="A605">
        <v>673</v>
      </c>
      <c r="B605" t="s">
        <v>23</v>
      </c>
      <c r="D605">
        <v>1</v>
      </c>
      <c r="E605">
        <v>11</v>
      </c>
      <c r="F605">
        <v>0</v>
      </c>
      <c r="G605">
        <v>674</v>
      </c>
      <c r="H605">
        <v>673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 t="s">
        <v>24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</row>
    <row r="606" spans="1:21" x14ac:dyDescent="0.25">
      <c r="A606">
        <v>674</v>
      </c>
      <c r="B606" t="s">
        <v>23</v>
      </c>
      <c r="D606">
        <v>1</v>
      </c>
      <c r="E606">
        <v>11</v>
      </c>
      <c r="F606">
        <v>0</v>
      </c>
      <c r="G606">
        <v>675</v>
      </c>
      <c r="H606">
        <v>674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 t="s">
        <v>24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</row>
    <row r="607" spans="1:21" x14ac:dyDescent="0.25">
      <c r="A607">
        <v>675</v>
      </c>
      <c r="B607" t="s">
        <v>23</v>
      </c>
      <c r="D607">
        <v>1</v>
      </c>
      <c r="E607">
        <v>11</v>
      </c>
      <c r="F607">
        <v>0</v>
      </c>
      <c r="G607">
        <v>676</v>
      </c>
      <c r="H607">
        <v>675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 t="s">
        <v>24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</row>
    <row r="608" spans="1:21" x14ac:dyDescent="0.25">
      <c r="A608">
        <v>676</v>
      </c>
      <c r="B608" t="s">
        <v>23</v>
      </c>
      <c r="D608">
        <v>1</v>
      </c>
      <c r="E608">
        <v>11</v>
      </c>
      <c r="F608">
        <v>0</v>
      </c>
      <c r="G608">
        <v>677</v>
      </c>
      <c r="H608">
        <v>676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 t="s">
        <v>24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</row>
    <row r="609" spans="1:21" x14ac:dyDescent="0.25">
      <c r="A609">
        <v>677</v>
      </c>
      <c r="B609" t="s">
        <v>23</v>
      </c>
      <c r="D609">
        <v>1</v>
      </c>
      <c r="E609">
        <v>10</v>
      </c>
      <c r="F609">
        <v>0</v>
      </c>
      <c r="G609">
        <v>678</v>
      </c>
      <c r="H609">
        <v>677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 t="s">
        <v>24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</row>
    <row r="610" spans="1:21" x14ac:dyDescent="0.25">
      <c r="A610">
        <v>678</v>
      </c>
      <c r="B610" t="s">
        <v>23</v>
      </c>
      <c r="D610">
        <v>1</v>
      </c>
      <c r="E610">
        <v>10</v>
      </c>
      <c r="F610">
        <v>0</v>
      </c>
      <c r="G610">
        <v>679</v>
      </c>
      <c r="H610">
        <v>678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 t="s">
        <v>24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</row>
    <row r="611" spans="1:21" x14ac:dyDescent="0.25">
      <c r="A611">
        <v>679</v>
      </c>
      <c r="B611" t="s">
        <v>23</v>
      </c>
      <c r="D611">
        <v>1</v>
      </c>
      <c r="E611">
        <v>10</v>
      </c>
      <c r="F611">
        <v>0</v>
      </c>
      <c r="G611">
        <v>680</v>
      </c>
      <c r="H611">
        <v>679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 t="s">
        <v>24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</row>
    <row r="612" spans="1:21" x14ac:dyDescent="0.25">
      <c r="A612">
        <v>680</v>
      </c>
      <c r="B612" t="s">
        <v>23</v>
      </c>
      <c r="D612">
        <v>1</v>
      </c>
      <c r="E612">
        <v>10</v>
      </c>
      <c r="F612">
        <v>0</v>
      </c>
      <c r="G612">
        <v>681</v>
      </c>
      <c r="H612">
        <v>680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 t="s">
        <v>24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</row>
    <row r="613" spans="1:21" x14ac:dyDescent="0.25">
      <c r="A613">
        <v>681</v>
      </c>
      <c r="B613" t="s">
        <v>23</v>
      </c>
      <c r="D613">
        <v>1</v>
      </c>
      <c r="E613">
        <v>10</v>
      </c>
      <c r="F613">
        <v>0</v>
      </c>
      <c r="G613">
        <v>682</v>
      </c>
      <c r="H613">
        <v>681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 t="s">
        <v>24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</row>
    <row r="614" spans="1:21" x14ac:dyDescent="0.25">
      <c r="A614">
        <v>682</v>
      </c>
      <c r="B614" t="s">
        <v>23</v>
      </c>
      <c r="D614">
        <v>1</v>
      </c>
      <c r="E614">
        <v>10</v>
      </c>
      <c r="F614">
        <v>0</v>
      </c>
      <c r="G614">
        <v>683</v>
      </c>
      <c r="H614">
        <v>682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 t="s">
        <v>24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</row>
    <row r="615" spans="1:21" x14ac:dyDescent="0.25">
      <c r="A615">
        <v>683</v>
      </c>
      <c r="B615" t="s">
        <v>23</v>
      </c>
      <c r="D615">
        <v>1</v>
      </c>
      <c r="E615">
        <v>10</v>
      </c>
      <c r="F615">
        <v>0</v>
      </c>
      <c r="G615">
        <v>684</v>
      </c>
      <c r="H615">
        <v>683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 t="s">
        <v>24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</row>
    <row r="616" spans="1:21" x14ac:dyDescent="0.25">
      <c r="A616">
        <v>684</v>
      </c>
      <c r="B616" t="s">
        <v>23</v>
      </c>
      <c r="D616">
        <v>1</v>
      </c>
      <c r="E616">
        <v>10</v>
      </c>
      <c r="F616">
        <v>0</v>
      </c>
      <c r="G616">
        <v>685</v>
      </c>
      <c r="H616">
        <v>684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 t="s">
        <v>24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</row>
    <row r="617" spans="1:21" x14ac:dyDescent="0.25">
      <c r="A617">
        <v>685</v>
      </c>
      <c r="B617" t="s">
        <v>23</v>
      </c>
      <c r="D617">
        <v>1</v>
      </c>
      <c r="E617">
        <v>10</v>
      </c>
      <c r="F617">
        <v>0</v>
      </c>
      <c r="G617">
        <v>686</v>
      </c>
      <c r="H617">
        <v>685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 t="s">
        <v>24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</row>
    <row r="618" spans="1:21" x14ac:dyDescent="0.25">
      <c r="A618">
        <v>686</v>
      </c>
      <c r="B618" t="s">
        <v>23</v>
      </c>
      <c r="D618">
        <v>1</v>
      </c>
      <c r="E618">
        <v>10</v>
      </c>
      <c r="F618">
        <v>0</v>
      </c>
      <c r="G618">
        <v>687</v>
      </c>
      <c r="H618">
        <v>686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 t="s">
        <v>24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</row>
    <row r="619" spans="1:21" x14ac:dyDescent="0.25">
      <c r="A619">
        <v>687</v>
      </c>
      <c r="B619" t="s">
        <v>23</v>
      </c>
      <c r="D619">
        <v>1</v>
      </c>
      <c r="E619">
        <v>10</v>
      </c>
      <c r="F619">
        <v>0</v>
      </c>
      <c r="G619">
        <v>688</v>
      </c>
      <c r="H619">
        <v>687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 t="s">
        <v>24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</row>
    <row r="620" spans="1:21" x14ac:dyDescent="0.25">
      <c r="A620">
        <v>688</v>
      </c>
      <c r="B620" t="s">
        <v>23</v>
      </c>
      <c r="D620">
        <v>1</v>
      </c>
      <c r="E620">
        <v>10</v>
      </c>
      <c r="F620">
        <v>0</v>
      </c>
      <c r="G620">
        <v>689</v>
      </c>
      <c r="H620">
        <v>688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 t="s">
        <v>24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</row>
    <row r="621" spans="1:21" x14ac:dyDescent="0.25">
      <c r="A621">
        <v>689</v>
      </c>
      <c r="B621" t="s">
        <v>23</v>
      </c>
      <c r="D621">
        <v>1</v>
      </c>
      <c r="E621">
        <v>10</v>
      </c>
      <c r="F621">
        <v>0</v>
      </c>
      <c r="G621">
        <v>690</v>
      </c>
      <c r="H621">
        <v>689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 t="s">
        <v>24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</row>
    <row r="622" spans="1:21" x14ac:dyDescent="0.25">
      <c r="A622">
        <v>690</v>
      </c>
      <c r="B622" t="s">
        <v>23</v>
      </c>
      <c r="D622">
        <v>1</v>
      </c>
      <c r="E622">
        <v>11</v>
      </c>
      <c r="F622">
        <v>0</v>
      </c>
      <c r="G622">
        <v>691</v>
      </c>
      <c r="H622">
        <v>690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 t="s">
        <v>24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</row>
    <row r="623" spans="1:21" x14ac:dyDescent="0.25">
      <c r="A623">
        <v>691</v>
      </c>
      <c r="B623" t="s">
        <v>23</v>
      </c>
      <c r="D623">
        <v>1</v>
      </c>
      <c r="E623">
        <v>11</v>
      </c>
      <c r="F623">
        <v>0</v>
      </c>
      <c r="G623">
        <v>692</v>
      </c>
      <c r="H623">
        <v>691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 t="s">
        <v>24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</row>
    <row r="624" spans="1:21" x14ac:dyDescent="0.25">
      <c r="A624">
        <v>692</v>
      </c>
      <c r="B624" t="s">
        <v>23</v>
      </c>
      <c r="D624">
        <v>1</v>
      </c>
      <c r="E624">
        <v>11</v>
      </c>
      <c r="F624">
        <v>0</v>
      </c>
      <c r="G624">
        <v>693</v>
      </c>
      <c r="H624">
        <v>692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 t="s">
        <v>24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</row>
    <row r="625" spans="1:21" x14ac:dyDescent="0.25">
      <c r="A625">
        <v>693</v>
      </c>
      <c r="B625" t="s">
        <v>23</v>
      </c>
      <c r="D625">
        <v>1</v>
      </c>
      <c r="E625">
        <v>11</v>
      </c>
      <c r="F625">
        <v>0</v>
      </c>
      <c r="G625">
        <v>694</v>
      </c>
      <c r="H625">
        <v>693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 t="s">
        <v>24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</row>
    <row r="626" spans="1:21" x14ac:dyDescent="0.25">
      <c r="A626">
        <v>694</v>
      </c>
      <c r="B626" t="s">
        <v>23</v>
      </c>
      <c r="D626">
        <v>1</v>
      </c>
      <c r="E626">
        <v>11</v>
      </c>
      <c r="F626">
        <v>0</v>
      </c>
      <c r="G626">
        <v>695</v>
      </c>
      <c r="H626">
        <v>694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 t="s">
        <v>24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</row>
    <row r="627" spans="1:21" x14ac:dyDescent="0.25">
      <c r="A627">
        <v>695</v>
      </c>
      <c r="B627" t="s">
        <v>23</v>
      </c>
      <c r="D627">
        <v>1</v>
      </c>
      <c r="E627">
        <v>11</v>
      </c>
      <c r="F627">
        <v>0</v>
      </c>
      <c r="G627">
        <v>696</v>
      </c>
      <c r="H627">
        <v>695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 t="s">
        <v>24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</row>
    <row r="628" spans="1:21" x14ac:dyDescent="0.25">
      <c r="A628">
        <v>696</v>
      </c>
      <c r="B628" t="s">
        <v>23</v>
      </c>
      <c r="D628">
        <v>1</v>
      </c>
      <c r="E628">
        <v>11</v>
      </c>
      <c r="F628">
        <v>0</v>
      </c>
      <c r="G628">
        <v>697</v>
      </c>
      <c r="H628">
        <v>696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 t="s">
        <v>24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</row>
    <row r="629" spans="1:21" x14ac:dyDescent="0.25">
      <c r="A629">
        <v>697</v>
      </c>
      <c r="B629" t="s">
        <v>23</v>
      </c>
      <c r="D629">
        <v>1</v>
      </c>
      <c r="E629">
        <v>11</v>
      </c>
      <c r="F629">
        <v>0</v>
      </c>
      <c r="G629">
        <v>698</v>
      </c>
      <c r="H629">
        <v>697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 t="s">
        <v>24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</row>
    <row r="630" spans="1:21" x14ac:dyDescent="0.25">
      <c r="A630">
        <v>698</v>
      </c>
      <c r="B630" t="s">
        <v>23</v>
      </c>
      <c r="D630">
        <v>1</v>
      </c>
      <c r="E630">
        <v>11</v>
      </c>
      <c r="F630">
        <v>0</v>
      </c>
      <c r="G630">
        <v>699</v>
      </c>
      <c r="H630">
        <v>698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 t="s">
        <v>24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</row>
    <row r="631" spans="1:21" x14ac:dyDescent="0.25">
      <c r="A631">
        <v>699</v>
      </c>
      <c r="B631" t="s">
        <v>23</v>
      </c>
      <c r="D631">
        <v>1</v>
      </c>
      <c r="E631">
        <v>11</v>
      </c>
      <c r="F631">
        <v>0</v>
      </c>
      <c r="G631">
        <v>700</v>
      </c>
      <c r="H631">
        <v>699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 t="s">
        <v>24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</row>
    <row r="632" spans="1:21" x14ac:dyDescent="0.25">
      <c r="A632">
        <v>700</v>
      </c>
      <c r="B632" t="s">
        <v>23</v>
      </c>
      <c r="D632">
        <v>1</v>
      </c>
      <c r="E632">
        <v>11</v>
      </c>
      <c r="F632">
        <v>0</v>
      </c>
      <c r="G632">
        <v>701</v>
      </c>
      <c r="H632">
        <v>700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 t="s">
        <v>24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</row>
    <row r="633" spans="1:21" x14ac:dyDescent="0.25">
      <c r="A633">
        <v>701</v>
      </c>
      <c r="B633" t="s">
        <v>23</v>
      </c>
      <c r="D633">
        <v>1</v>
      </c>
      <c r="E633">
        <v>11</v>
      </c>
      <c r="F633">
        <v>0</v>
      </c>
      <c r="G633">
        <v>702</v>
      </c>
      <c r="H633">
        <v>701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 t="s">
        <v>24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</row>
    <row r="634" spans="1:21" x14ac:dyDescent="0.25">
      <c r="A634">
        <v>702</v>
      </c>
      <c r="B634" t="s">
        <v>23</v>
      </c>
      <c r="D634">
        <v>1</v>
      </c>
      <c r="E634">
        <v>11</v>
      </c>
      <c r="F634">
        <v>0</v>
      </c>
      <c r="G634">
        <v>703</v>
      </c>
      <c r="H634">
        <v>702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 t="s">
        <v>24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</row>
    <row r="635" spans="1:21" x14ac:dyDescent="0.25">
      <c r="A635">
        <v>703</v>
      </c>
      <c r="B635" t="s">
        <v>23</v>
      </c>
      <c r="D635">
        <v>1</v>
      </c>
      <c r="E635">
        <v>12</v>
      </c>
      <c r="F635">
        <v>0</v>
      </c>
      <c r="G635">
        <v>704</v>
      </c>
      <c r="H635">
        <v>703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 t="s">
        <v>24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</row>
    <row r="636" spans="1:21" x14ac:dyDescent="0.25">
      <c r="A636">
        <v>704</v>
      </c>
      <c r="B636" t="s">
        <v>23</v>
      </c>
      <c r="D636">
        <v>1</v>
      </c>
      <c r="E636">
        <v>12</v>
      </c>
      <c r="F636">
        <v>0</v>
      </c>
      <c r="G636">
        <v>705</v>
      </c>
      <c r="H636">
        <v>704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 t="s">
        <v>24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</row>
    <row r="637" spans="1:21" x14ac:dyDescent="0.25">
      <c r="A637">
        <v>705</v>
      </c>
      <c r="B637" t="s">
        <v>23</v>
      </c>
      <c r="D637">
        <v>1</v>
      </c>
      <c r="E637">
        <v>12</v>
      </c>
      <c r="F637">
        <v>0</v>
      </c>
      <c r="G637">
        <v>706</v>
      </c>
      <c r="H637">
        <v>705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 t="s">
        <v>24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</row>
    <row r="638" spans="1:21" x14ac:dyDescent="0.25">
      <c r="A638">
        <v>706</v>
      </c>
      <c r="B638" t="s">
        <v>23</v>
      </c>
      <c r="D638">
        <v>1</v>
      </c>
      <c r="E638">
        <v>12</v>
      </c>
      <c r="F638">
        <v>0</v>
      </c>
      <c r="G638">
        <v>707</v>
      </c>
      <c r="H638">
        <v>706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 t="s">
        <v>24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</row>
    <row r="639" spans="1:21" x14ac:dyDescent="0.25">
      <c r="A639">
        <v>707</v>
      </c>
      <c r="B639" t="s">
        <v>23</v>
      </c>
      <c r="D639">
        <v>1</v>
      </c>
      <c r="E639">
        <v>12</v>
      </c>
      <c r="F639">
        <v>0</v>
      </c>
      <c r="G639">
        <v>708</v>
      </c>
      <c r="H639">
        <v>707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 t="s">
        <v>24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</row>
    <row r="640" spans="1:21" x14ac:dyDescent="0.25">
      <c r="A640">
        <v>708</v>
      </c>
      <c r="B640" t="s">
        <v>23</v>
      </c>
      <c r="D640">
        <v>1</v>
      </c>
      <c r="E640">
        <v>12</v>
      </c>
      <c r="F640">
        <v>0</v>
      </c>
      <c r="G640">
        <v>709</v>
      </c>
      <c r="H640">
        <v>708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 t="s">
        <v>24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</row>
    <row r="641" spans="1:21" x14ac:dyDescent="0.25">
      <c r="A641">
        <v>709</v>
      </c>
      <c r="B641" t="s">
        <v>23</v>
      </c>
      <c r="D641">
        <v>1</v>
      </c>
      <c r="E641">
        <v>12</v>
      </c>
      <c r="F641">
        <v>0</v>
      </c>
      <c r="G641">
        <v>710</v>
      </c>
      <c r="H641">
        <v>709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 t="s">
        <v>24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</row>
    <row r="642" spans="1:21" x14ac:dyDescent="0.25">
      <c r="A642">
        <v>710</v>
      </c>
      <c r="B642" t="s">
        <v>23</v>
      </c>
      <c r="D642">
        <v>1</v>
      </c>
      <c r="E642">
        <v>12</v>
      </c>
      <c r="F642">
        <v>0</v>
      </c>
      <c r="G642">
        <v>711</v>
      </c>
      <c r="H642">
        <v>710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 t="s">
        <v>24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</row>
    <row r="643" spans="1:21" x14ac:dyDescent="0.25">
      <c r="A643">
        <v>711</v>
      </c>
      <c r="B643" t="s">
        <v>23</v>
      </c>
      <c r="D643">
        <v>1</v>
      </c>
      <c r="E643">
        <v>12</v>
      </c>
      <c r="F643">
        <v>0</v>
      </c>
      <c r="G643">
        <v>712</v>
      </c>
      <c r="H643">
        <v>711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 t="s">
        <v>24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</row>
    <row r="644" spans="1:21" x14ac:dyDescent="0.25">
      <c r="A644">
        <v>712</v>
      </c>
      <c r="B644" t="s">
        <v>23</v>
      </c>
      <c r="D644">
        <v>1</v>
      </c>
      <c r="E644">
        <v>12</v>
      </c>
      <c r="F644">
        <v>0</v>
      </c>
      <c r="G644">
        <v>713</v>
      </c>
      <c r="H644">
        <v>712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 t="s">
        <v>24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</row>
    <row r="645" spans="1:21" x14ac:dyDescent="0.25">
      <c r="A645">
        <v>713</v>
      </c>
      <c r="B645" t="s">
        <v>23</v>
      </c>
      <c r="D645">
        <v>1</v>
      </c>
      <c r="E645">
        <v>12</v>
      </c>
      <c r="F645">
        <v>0</v>
      </c>
      <c r="G645">
        <v>714</v>
      </c>
      <c r="H645">
        <v>713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 t="s">
        <v>24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</row>
    <row r="646" spans="1:21" x14ac:dyDescent="0.25">
      <c r="A646">
        <v>714</v>
      </c>
      <c r="B646" t="s">
        <v>23</v>
      </c>
      <c r="D646">
        <v>1</v>
      </c>
      <c r="E646">
        <v>12</v>
      </c>
      <c r="F646">
        <v>0</v>
      </c>
      <c r="G646">
        <v>715</v>
      </c>
      <c r="H646">
        <v>714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 t="s">
        <v>24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</row>
    <row r="647" spans="1:21" x14ac:dyDescent="0.25">
      <c r="A647">
        <v>715</v>
      </c>
      <c r="B647" t="s">
        <v>23</v>
      </c>
      <c r="D647">
        <v>1</v>
      </c>
      <c r="E647">
        <v>12</v>
      </c>
      <c r="F647">
        <v>0</v>
      </c>
      <c r="G647">
        <v>716</v>
      </c>
      <c r="H647">
        <v>715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 t="s">
        <v>24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</row>
    <row r="648" spans="1:21" x14ac:dyDescent="0.25">
      <c r="A648">
        <v>716</v>
      </c>
      <c r="B648" t="s">
        <v>23</v>
      </c>
      <c r="D648">
        <v>1</v>
      </c>
      <c r="E648">
        <v>12</v>
      </c>
      <c r="F648">
        <v>0</v>
      </c>
      <c r="G648">
        <v>717</v>
      </c>
      <c r="H648">
        <v>716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 t="s">
        <v>24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</row>
    <row r="649" spans="1:21" x14ac:dyDescent="0.25">
      <c r="A649">
        <v>717</v>
      </c>
      <c r="B649" t="s">
        <v>23</v>
      </c>
      <c r="D649">
        <v>1</v>
      </c>
      <c r="E649">
        <v>12</v>
      </c>
      <c r="F649">
        <v>0</v>
      </c>
      <c r="G649">
        <v>718</v>
      </c>
      <c r="H649">
        <v>717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 t="s">
        <v>24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</row>
    <row r="650" spans="1:21" x14ac:dyDescent="0.25">
      <c r="A650">
        <v>718</v>
      </c>
      <c r="B650" t="s">
        <v>23</v>
      </c>
      <c r="D650">
        <v>1</v>
      </c>
      <c r="E650">
        <v>12</v>
      </c>
      <c r="F650">
        <v>0</v>
      </c>
      <c r="G650">
        <v>719</v>
      </c>
      <c r="H650">
        <v>718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 t="s">
        <v>24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</row>
    <row r="651" spans="1:21" x14ac:dyDescent="0.25">
      <c r="A651">
        <v>719</v>
      </c>
      <c r="B651" t="s">
        <v>23</v>
      </c>
      <c r="D651">
        <v>1</v>
      </c>
      <c r="E651">
        <v>12</v>
      </c>
      <c r="F651">
        <v>0</v>
      </c>
      <c r="G651">
        <v>720</v>
      </c>
      <c r="H651">
        <v>719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 t="s">
        <v>24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</row>
    <row r="652" spans="1:21" x14ac:dyDescent="0.25">
      <c r="A652">
        <v>720</v>
      </c>
      <c r="B652" t="s">
        <v>23</v>
      </c>
      <c r="D652">
        <v>1</v>
      </c>
      <c r="E652">
        <v>12</v>
      </c>
      <c r="F652">
        <v>0</v>
      </c>
      <c r="G652">
        <v>721</v>
      </c>
      <c r="H652">
        <v>720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 t="s">
        <v>24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</row>
    <row r="653" spans="1:21" x14ac:dyDescent="0.25">
      <c r="A653">
        <v>721</v>
      </c>
      <c r="B653" t="s">
        <v>23</v>
      </c>
      <c r="D653">
        <v>1</v>
      </c>
      <c r="E653">
        <v>12</v>
      </c>
      <c r="F653">
        <v>0</v>
      </c>
      <c r="G653">
        <v>722</v>
      </c>
      <c r="H653">
        <v>721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 t="s">
        <v>24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</row>
    <row r="654" spans="1:21" x14ac:dyDescent="0.25">
      <c r="A654">
        <v>722</v>
      </c>
      <c r="B654" t="s">
        <v>23</v>
      </c>
      <c r="D654">
        <v>1</v>
      </c>
      <c r="E654">
        <v>12</v>
      </c>
      <c r="F654">
        <v>0</v>
      </c>
      <c r="G654">
        <v>723</v>
      </c>
      <c r="H654">
        <v>722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 t="s">
        <v>24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</row>
    <row r="655" spans="1:21" x14ac:dyDescent="0.25">
      <c r="A655">
        <v>723</v>
      </c>
      <c r="B655" t="s">
        <v>23</v>
      </c>
      <c r="D655">
        <v>1</v>
      </c>
      <c r="E655">
        <v>12</v>
      </c>
      <c r="F655">
        <v>0</v>
      </c>
      <c r="G655">
        <v>724</v>
      </c>
      <c r="H655">
        <v>723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 t="s">
        <v>24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</row>
    <row r="656" spans="1:21" x14ac:dyDescent="0.25">
      <c r="A656">
        <v>724</v>
      </c>
      <c r="B656" t="s">
        <v>23</v>
      </c>
      <c r="D656">
        <v>1</v>
      </c>
      <c r="E656">
        <v>12</v>
      </c>
      <c r="F656">
        <v>0</v>
      </c>
      <c r="G656">
        <v>725</v>
      </c>
      <c r="H656">
        <v>724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 t="s">
        <v>24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</row>
    <row r="657" spans="1:21" x14ac:dyDescent="0.25">
      <c r="A657">
        <v>725</v>
      </c>
      <c r="B657" t="s">
        <v>23</v>
      </c>
      <c r="D657">
        <v>1</v>
      </c>
      <c r="E657">
        <v>12</v>
      </c>
      <c r="F657">
        <v>0</v>
      </c>
      <c r="G657">
        <v>726</v>
      </c>
      <c r="H657">
        <v>725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 t="s">
        <v>24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</row>
    <row r="658" spans="1:21" x14ac:dyDescent="0.25">
      <c r="A658">
        <v>726</v>
      </c>
      <c r="B658" t="s">
        <v>23</v>
      </c>
      <c r="D658">
        <v>1</v>
      </c>
      <c r="E658">
        <v>12</v>
      </c>
      <c r="F658">
        <v>0</v>
      </c>
      <c r="G658">
        <v>727</v>
      </c>
      <c r="H658">
        <v>726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 t="s">
        <v>24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</row>
    <row r="659" spans="1:21" x14ac:dyDescent="0.25">
      <c r="A659">
        <v>727</v>
      </c>
      <c r="B659" t="s">
        <v>23</v>
      </c>
      <c r="D659">
        <v>1</v>
      </c>
      <c r="E659">
        <v>12</v>
      </c>
      <c r="F659">
        <v>0</v>
      </c>
      <c r="G659">
        <v>728</v>
      </c>
      <c r="H659">
        <v>727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 t="s">
        <v>24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</row>
    <row r="660" spans="1:21" x14ac:dyDescent="0.25">
      <c r="A660">
        <v>728</v>
      </c>
      <c r="B660" t="s">
        <v>23</v>
      </c>
      <c r="D660">
        <v>1</v>
      </c>
      <c r="E660">
        <v>12</v>
      </c>
      <c r="F660">
        <v>0</v>
      </c>
      <c r="G660">
        <v>729</v>
      </c>
      <c r="H660">
        <v>728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 t="s">
        <v>24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</row>
    <row r="661" spans="1:21" x14ac:dyDescent="0.25">
      <c r="A661">
        <v>729</v>
      </c>
      <c r="B661" t="s">
        <v>23</v>
      </c>
      <c r="D661">
        <v>1</v>
      </c>
      <c r="E661">
        <v>11</v>
      </c>
      <c r="F661">
        <v>0</v>
      </c>
      <c r="G661">
        <v>730</v>
      </c>
      <c r="H661">
        <v>729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 t="s">
        <v>24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</row>
    <row r="662" spans="1:21" x14ac:dyDescent="0.25">
      <c r="A662">
        <v>730</v>
      </c>
      <c r="B662" t="s">
        <v>23</v>
      </c>
      <c r="D662">
        <v>1</v>
      </c>
      <c r="E662">
        <v>11</v>
      </c>
      <c r="F662">
        <v>0</v>
      </c>
      <c r="G662">
        <v>731</v>
      </c>
      <c r="H662">
        <v>730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 t="s">
        <v>24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</row>
    <row r="663" spans="1:21" x14ac:dyDescent="0.25">
      <c r="A663">
        <v>731</v>
      </c>
      <c r="B663" t="s">
        <v>23</v>
      </c>
      <c r="D663">
        <v>1</v>
      </c>
      <c r="E663">
        <v>11</v>
      </c>
      <c r="F663">
        <v>0</v>
      </c>
      <c r="G663">
        <v>732</v>
      </c>
      <c r="H663">
        <v>731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 t="s">
        <v>24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</row>
    <row r="664" spans="1:21" x14ac:dyDescent="0.25">
      <c r="A664">
        <v>732</v>
      </c>
      <c r="B664" t="s">
        <v>23</v>
      </c>
      <c r="D664">
        <v>1</v>
      </c>
      <c r="E664">
        <v>11</v>
      </c>
      <c r="F664">
        <v>0</v>
      </c>
      <c r="G664">
        <v>733</v>
      </c>
      <c r="H664">
        <v>732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 t="s">
        <v>24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</row>
    <row r="665" spans="1:21" x14ac:dyDescent="0.25">
      <c r="A665">
        <v>733</v>
      </c>
      <c r="B665" t="s">
        <v>23</v>
      </c>
      <c r="D665">
        <v>1</v>
      </c>
      <c r="E665">
        <v>11</v>
      </c>
      <c r="F665">
        <v>0</v>
      </c>
      <c r="G665">
        <v>734</v>
      </c>
      <c r="H665">
        <v>733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 t="s">
        <v>24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</row>
    <row r="666" spans="1:21" x14ac:dyDescent="0.25">
      <c r="A666">
        <v>734</v>
      </c>
      <c r="B666" t="s">
        <v>23</v>
      </c>
      <c r="D666">
        <v>1</v>
      </c>
      <c r="E666">
        <v>11</v>
      </c>
      <c r="F666">
        <v>0</v>
      </c>
      <c r="G666">
        <v>735</v>
      </c>
      <c r="H666">
        <v>734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 t="s">
        <v>24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</row>
    <row r="667" spans="1:21" x14ac:dyDescent="0.25">
      <c r="A667">
        <v>735</v>
      </c>
      <c r="B667" t="s">
        <v>23</v>
      </c>
      <c r="D667">
        <v>1</v>
      </c>
      <c r="E667">
        <v>11</v>
      </c>
      <c r="F667">
        <v>0</v>
      </c>
      <c r="G667">
        <v>736</v>
      </c>
      <c r="H667">
        <v>735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 t="s">
        <v>24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</row>
    <row r="668" spans="1:21" x14ac:dyDescent="0.25">
      <c r="A668">
        <v>736</v>
      </c>
      <c r="B668" t="s">
        <v>23</v>
      </c>
      <c r="D668">
        <v>1</v>
      </c>
      <c r="E668">
        <v>11</v>
      </c>
      <c r="F668">
        <v>0</v>
      </c>
      <c r="G668">
        <v>737</v>
      </c>
      <c r="H668">
        <v>736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 t="s">
        <v>24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</row>
    <row r="669" spans="1:21" x14ac:dyDescent="0.25">
      <c r="A669">
        <v>737</v>
      </c>
      <c r="B669" t="s">
        <v>23</v>
      </c>
      <c r="D669">
        <v>1</v>
      </c>
      <c r="E669">
        <v>11</v>
      </c>
      <c r="F669">
        <v>0</v>
      </c>
      <c r="G669">
        <v>738</v>
      </c>
      <c r="H669">
        <v>737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 t="s">
        <v>24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</row>
    <row r="670" spans="1:21" x14ac:dyDescent="0.25">
      <c r="A670">
        <v>738</v>
      </c>
      <c r="B670" t="s">
        <v>23</v>
      </c>
      <c r="D670">
        <v>1</v>
      </c>
      <c r="E670">
        <v>11</v>
      </c>
      <c r="F670">
        <v>0</v>
      </c>
      <c r="G670">
        <v>739</v>
      </c>
      <c r="H670">
        <v>738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 t="s">
        <v>24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</row>
    <row r="671" spans="1:21" x14ac:dyDescent="0.25">
      <c r="A671">
        <v>739</v>
      </c>
      <c r="B671" t="s">
        <v>23</v>
      </c>
      <c r="D671">
        <v>1</v>
      </c>
      <c r="E671">
        <v>11</v>
      </c>
      <c r="F671">
        <v>0</v>
      </c>
      <c r="G671">
        <v>740</v>
      </c>
      <c r="H671">
        <v>739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 t="s">
        <v>24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</row>
    <row r="672" spans="1:21" x14ac:dyDescent="0.25">
      <c r="A672">
        <v>740</v>
      </c>
      <c r="B672" t="s">
        <v>23</v>
      </c>
      <c r="D672">
        <v>1</v>
      </c>
      <c r="E672">
        <v>11</v>
      </c>
      <c r="F672">
        <v>0</v>
      </c>
      <c r="G672">
        <v>741</v>
      </c>
      <c r="H672">
        <v>740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 t="s">
        <v>24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</row>
    <row r="673" spans="1:21" x14ac:dyDescent="0.25">
      <c r="A673">
        <v>741</v>
      </c>
      <c r="B673" t="s">
        <v>23</v>
      </c>
      <c r="D673">
        <v>1</v>
      </c>
      <c r="E673">
        <v>11</v>
      </c>
      <c r="F673">
        <v>0</v>
      </c>
      <c r="G673">
        <v>742</v>
      </c>
      <c r="H673">
        <v>741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 t="s">
        <v>24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</row>
    <row r="674" spans="1:21" x14ac:dyDescent="0.25">
      <c r="A674">
        <v>742</v>
      </c>
      <c r="B674" t="s">
        <v>23</v>
      </c>
      <c r="D674">
        <v>1</v>
      </c>
      <c r="E674">
        <v>10</v>
      </c>
      <c r="F674">
        <v>0</v>
      </c>
      <c r="G674">
        <v>743</v>
      </c>
      <c r="H674">
        <v>742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 t="s">
        <v>24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</row>
    <row r="675" spans="1:21" x14ac:dyDescent="0.25">
      <c r="A675">
        <v>743</v>
      </c>
      <c r="B675" t="s">
        <v>23</v>
      </c>
      <c r="D675">
        <v>1</v>
      </c>
      <c r="E675">
        <v>10</v>
      </c>
      <c r="F675">
        <v>0</v>
      </c>
      <c r="G675">
        <v>744</v>
      </c>
      <c r="H675">
        <v>743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 t="s">
        <v>24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</row>
    <row r="676" spans="1:21" x14ac:dyDescent="0.25">
      <c r="A676">
        <v>744</v>
      </c>
      <c r="B676" t="s">
        <v>23</v>
      </c>
      <c r="D676">
        <v>1</v>
      </c>
      <c r="E676">
        <v>10</v>
      </c>
      <c r="F676">
        <v>0</v>
      </c>
      <c r="G676">
        <v>745</v>
      </c>
      <c r="H676">
        <v>744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 t="s">
        <v>24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</row>
    <row r="677" spans="1:21" x14ac:dyDescent="0.25">
      <c r="A677">
        <v>745</v>
      </c>
      <c r="B677" t="s">
        <v>23</v>
      </c>
      <c r="D677">
        <v>1</v>
      </c>
      <c r="E677">
        <v>10</v>
      </c>
      <c r="F677">
        <v>0</v>
      </c>
      <c r="G677">
        <v>746</v>
      </c>
      <c r="H677">
        <v>745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 t="s">
        <v>24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</row>
    <row r="678" spans="1:21" x14ac:dyDescent="0.25">
      <c r="A678">
        <v>746</v>
      </c>
      <c r="B678" t="s">
        <v>23</v>
      </c>
      <c r="D678">
        <v>1</v>
      </c>
      <c r="E678">
        <v>10</v>
      </c>
      <c r="F678">
        <v>0</v>
      </c>
      <c r="G678">
        <v>747</v>
      </c>
      <c r="H678">
        <v>746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 t="s">
        <v>24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</row>
    <row r="679" spans="1:21" x14ac:dyDescent="0.25">
      <c r="A679">
        <v>747</v>
      </c>
      <c r="B679" t="s">
        <v>23</v>
      </c>
      <c r="D679">
        <v>1</v>
      </c>
      <c r="E679">
        <v>10</v>
      </c>
      <c r="F679">
        <v>0</v>
      </c>
      <c r="G679">
        <v>748</v>
      </c>
      <c r="H679">
        <v>747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 t="s">
        <v>24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</row>
    <row r="680" spans="1:21" x14ac:dyDescent="0.25">
      <c r="A680">
        <v>748</v>
      </c>
      <c r="B680" t="s">
        <v>23</v>
      </c>
      <c r="D680">
        <v>1</v>
      </c>
      <c r="E680">
        <v>10</v>
      </c>
      <c r="F680">
        <v>0</v>
      </c>
      <c r="G680">
        <v>749</v>
      </c>
      <c r="H680">
        <v>748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 t="s">
        <v>24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</row>
    <row r="681" spans="1:21" x14ac:dyDescent="0.25">
      <c r="A681">
        <v>749</v>
      </c>
      <c r="B681" t="s">
        <v>23</v>
      </c>
      <c r="D681">
        <v>1</v>
      </c>
      <c r="E681">
        <v>10</v>
      </c>
      <c r="F681">
        <v>0</v>
      </c>
      <c r="G681">
        <v>750</v>
      </c>
      <c r="H681">
        <v>749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 t="s">
        <v>24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</row>
    <row r="682" spans="1:21" x14ac:dyDescent="0.25">
      <c r="A682">
        <v>750</v>
      </c>
      <c r="B682" t="s">
        <v>23</v>
      </c>
      <c r="D682">
        <v>1</v>
      </c>
      <c r="E682">
        <v>10</v>
      </c>
      <c r="F682">
        <v>0</v>
      </c>
      <c r="G682">
        <v>751</v>
      </c>
      <c r="H682">
        <v>750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 t="s">
        <v>24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</row>
    <row r="683" spans="1:21" x14ac:dyDescent="0.25">
      <c r="A683">
        <v>751</v>
      </c>
      <c r="B683" t="s">
        <v>23</v>
      </c>
      <c r="D683">
        <v>1</v>
      </c>
      <c r="E683">
        <v>10</v>
      </c>
      <c r="F683">
        <v>0</v>
      </c>
      <c r="G683">
        <v>752</v>
      </c>
      <c r="H683">
        <v>751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 t="s">
        <v>24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</row>
    <row r="684" spans="1:21" x14ac:dyDescent="0.25">
      <c r="A684">
        <v>752</v>
      </c>
      <c r="B684" t="s">
        <v>23</v>
      </c>
      <c r="D684">
        <v>1</v>
      </c>
      <c r="E684">
        <v>10</v>
      </c>
      <c r="F684">
        <v>0</v>
      </c>
      <c r="G684">
        <v>753</v>
      </c>
      <c r="H684">
        <v>752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 t="s">
        <v>24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</row>
    <row r="685" spans="1:21" x14ac:dyDescent="0.25">
      <c r="A685">
        <v>753</v>
      </c>
      <c r="B685" t="s">
        <v>23</v>
      </c>
      <c r="D685">
        <v>1</v>
      </c>
      <c r="E685">
        <v>10</v>
      </c>
      <c r="F685">
        <v>0</v>
      </c>
      <c r="G685">
        <v>754</v>
      </c>
      <c r="H685">
        <v>753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 t="s">
        <v>24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</row>
    <row r="686" spans="1:21" x14ac:dyDescent="0.25">
      <c r="A686">
        <v>754</v>
      </c>
      <c r="B686" t="s">
        <v>23</v>
      </c>
      <c r="D686">
        <v>1</v>
      </c>
      <c r="E686">
        <v>10</v>
      </c>
      <c r="F686">
        <v>0</v>
      </c>
      <c r="G686">
        <v>755</v>
      </c>
      <c r="H686">
        <v>754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 t="s">
        <v>24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</row>
    <row r="687" spans="1:21" x14ac:dyDescent="0.25">
      <c r="A687">
        <v>755</v>
      </c>
      <c r="B687" t="s">
        <v>23</v>
      </c>
      <c r="D687">
        <v>1</v>
      </c>
      <c r="E687">
        <v>11</v>
      </c>
      <c r="F687">
        <v>0</v>
      </c>
      <c r="G687">
        <v>756</v>
      </c>
      <c r="H687">
        <v>755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 t="s">
        <v>24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</row>
    <row r="688" spans="1:21" x14ac:dyDescent="0.25">
      <c r="A688">
        <v>756</v>
      </c>
      <c r="B688" t="s">
        <v>23</v>
      </c>
      <c r="D688">
        <v>1</v>
      </c>
      <c r="E688">
        <v>11</v>
      </c>
      <c r="F688">
        <v>0</v>
      </c>
      <c r="G688">
        <v>757</v>
      </c>
      <c r="H688">
        <v>756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 t="s">
        <v>24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</row>
    <row r="689" spans="1:21" x14ac:dyDescent="0.25">
      <c r="A689">
        <v>757</v>
      </c>
      <c r="B689" t="s">
        <v>23</v>
      </c>
      <c r="D689">
        <v>1</v>
      </c>
      <c r="E689">
        <v>11</v>
      </c>
      <c r="F689">
        <v>0</v>
      </c>
      <c r="G689">
        <v>758</v>
      </c>
      <c r="H689">
        <v>757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 t="s">
        <v>24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</row>
    <row r="690" spans="1:21" x14ac:dyDescent="0.25">
      <c r="A690">
        <v>758</v>
      </c>
      <c r="B690" t="s">
        <v>23</v>
      </c>
      <c r="D690">
        <v>1</v>
      </c>
      <c r="E690">
        <v>11</v>
      </c>
      <c r="F690">
        <v>0</v>
      </c>
      <c r="G690">
        <v>759</v>
      </c>
      <c r="H690">
        <v>758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 t="s">
        <v>24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</row>
    <row r="691" spans="1:21" x14ac:dyDescent="0.25">
      <c r="A691">
        <v>759</v>
      </c>
      <c r="B691" t="s">
        <v>23</v>
      </c>
      <c r="D691">
        <v>1</v>
      </c>
      <c r="E691">
        <v>11</v>
      </c>
      <c r="F691">
        <v>0</v>
      </c>
      <c r="G691">
        <v>760</v>
      </c>
      <c r="H691">
        <v>759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 t="s">
        <v>24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</row>
    <row r="692" spans="1:21" x14ac:dyDescent="0.25">
      <c r="A692">
        <v>760</v>
      </c>
      <c r="B692" t="s">
        <v>23</v>
      </c>
      <c r="D692">
        <v>1</v>
      </c>
      <c r="E692">
        <v>11</v>
      </c>
      <c r="F692">
        <v>0</v>
      </c>
      <c r="G692">
        <v>761</v>
      </c>
      <c r="H692">
        <v>760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 t="s">
        <v>24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</row>
    <row r="693" spans="1:21" x14ac:dyDescent="0.25">
      <c r="A693">
        <v>761</v>
      </c>
      <c r="B693" t="s">
        <v>23</v>
      </c>
      <c r="D693">
        <v>1</v>
      </c>
      <c r="E693">
        <v>11</v>
      </c>
      <c r="F693">
        <v>0</v>
      </c>
      <c r="G693">
        <v>762</v>
      </c>
      <c r="H693">
        <v>761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 t="s">
        <v>24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</row>
    <row r="694" spans="1:21" x14ac:dyDescent="0.25">
      <c r="A694">
        <v>762</v>
      </c>
      <c r="B694" t="s">
        <v>23</v>
      </c>
      <c r="D694">
        <v>1</v>
      </c>
      <c r="E694">
        <v>11</v>
      </c>
      <c r="F694">
        <v>0</v>
      </c>
      <c r="G694">
        <v>763</v>
      </c>
      <c r="H694">
        <v>762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 t="s">
        <v>24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</row>
    <row r="695" spans="1:21" x14ac:dyDescent="0.25">
      <c r="A695">
        <v>763</v>
      </c>
      <c r="B695" t="s">
        <v>23</v>
      </c>
      <c r="D695">
        <v>1</v>
      </c>
      <c r="E695">
        <v>11</v>
      </c>
      <c r="F695">
        <v>0</v>
      </c>
      <c r="G695">
        <v>764</v>
      </c>
      <c r="H695">
        <v>763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 t="s">
        <v>24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</row>
    <row r="696" spans="1:21" x14ac:dyDescent="0.25">
      <c r="A696">
        <v>764</v>
      </c>
      <c r="B696" t="s">
        <v>23</v>
      </c>
      <c r="D696">
        <v>1</v>
      </c>
      <c r="E696">
        <v>11</v>
      </c>
      <c r="F696">
        <v>0</v>
      </c>
      <c r="G696">
        <v>765</v>
      </c>
      <c r="H696">
        <v>764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 t="s">
        <v>24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</row>
    <row r="697" spans="1:21" x14ac:dyDescent="0.25">
      <c r="A697">
        <v>765</v>
      </c>
      <c r="B697" t="s">
        <v>23</v>
      </c>
      <c r="D697">
        <v>1</v>
      </c>
      <c r="E697">
        <v>11</v>
      </c>
      <c r="F697">
        <v>0</v>
      </c>
      <c r="G697">
        <v>766</v>
      </c>
      <c r="H697">
        <v>765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 t="s">
        <v>24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</row>
    <row r="698" spans="1:21" x14ac:dyDescent="0.25">
      <c r="A698">
        <v>766</v>
      </c>
      <c r="B698" t="s">
        <v>23</v>
      </c>
      <c r="D698">
        <v>1</v>
      </c>
      <c r="E698">
        <v>11</v>
      </c>
      <c r="F698">
        <v>0</v>
      </c>
      <c r="G698">
        <v>767</v>
      </c>
      <c r="H698">
        <v>766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 t="s">
        <v>24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</row>
    <row r="699" spans="1:21" x14ac:dyDescent="0.25">
      <c r="A699">
        <v>767</v>
      </c>
      <c r="B699" t="s">
        <v>23</v>
      </c>
      <c r="D699">
        <v>1</v>
      </c>
      <c r="E699">
        <v>11</v>
      </c>
      <c r="F699">
        <v>0</v>
      </c>
      <c r="G699">
        <v>768</v>
      </c>
      <c r="H699">
        <v>767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 t="s">
        <v>24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</row>
    <row r="700" spans="1:21" x14ac:dyDescent="0.25">
      <c r="A700">
        <v>768</v>
      </c>
      <c r="B700" t="s">
        <v>23</v>
      </c>
      <c r="D700">
        <v>1</v>
      </c>
      <c r="E700">
        <v>12</v>
      </c>
      <c r="F700">
        <v>0</v>
      </c>
      <c r="G700">
        <v>769</v>
      </c>
      <c r="H700">
        <v>768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 t="s">
        <v>24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</row>
    <row r="701" spans="1:21" x14ac:dyDescent="0.25">
      <c r="A701">
        <v>769</v>
      </c>
      <c r="B701" t="s">
        <v>23</v>
      </c>
      <c r="D701">
        <v>1</v>
      </c>
      <c r="E701">
        <v>12</v>
      </c>
      <c r="F701">
        <v>0</v>
      </c>
      <c r="G701">
        <v>770</v>
      </c>
      <c r="H701">
        <v>769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 t="s">
        <v>24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</row>
    <row r="702" spans="1:21" x14ac:dyDescent="0.25">
      <c r="A702">
        <v>770</v>
      </c>
      <c r="B702" t="s">
        <v>23</v>
      </c>
      <c r="D702">
        <v>1</v>
      </c>
      <c r="E702">
        <v>12</v>
      </c>
      <c r="F702">
        <v>0</v>
      </c>
      <c r="G702">
        <v>771</v>
      </c>
      <c r="H702">
        <v>770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 t="s">
        <v>24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</row>
    <row r="703" spans="1:21" x14ac:dyDescent="0.25">
      <c r="A703">
        <v>771</v>
      </c>
      <c r="B703" t="s">
        <v>23</v>
      </c>
      <c r="D703">
        <v>1</v>
      </c>
      <c r="E703">
        <v>12</v>
      </c>
      <c r="F703">
        <v>0</v>
      </c>
      <c r="G703">
        <v>772</v>
      </c>
      <c r="H703">
        <v>771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 t="s">
        <v>24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</row>
    <row r="704" spans="1:21" x14ac:dyDescent="0.25">
      <c r="A704">
        <v>772</v>
      </c>
      <c r="B704" t="s">
        <v>23</v>
      </c>
      <c r="D704">
        <v>1</v>
      </c>
      <c r="E704">
        <v>12</v>
      </c>
      <c r="F704">
        <v>0</v>
      </c>
      <c r="G704">
        <v>773</v>
      </c>
      <c r="H704">
        <v>772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 t="s">
        <v>24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</row>
    <row r="705" spans="1:21" x14ac:dyDescent="0.25">
      <c r="A705">
        <v>773</v>
      </c>
      <c r="B705" t="s">
        <v>23</v>
      </c>
      <c r="D705">
        <v>1</v>
      </c>
      <c r="E705">
        <v>12</v>
      </c>
      <c r="F705">
        <v>0</v>
      </c>
      <c r="G705">
        <v>774</v>
      </c>
      <c r="H705">
        <v>773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 t="s">
        <v>24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</row>
    <row r="706" spans="1:21" x14ac:dyDescent="0.25">
      <c r="A706">
        <v>774</v>
      </c>
      <c r="B706" t="s">
        <v>23</v>
      </c>
      <c r="D706">
        <v>1</v>
      </c>
      <c r="E706">
        <v>12</v>
      </c>
      <c r="F706">
        <v>0</v>
      </c>
      <c r="G706">
        <v>775</v>
      </c>
      <c r="H706">
        <v>774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 t="s">
        <v>24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</row>
    <row r="707" spans="1:21" x14ac:dyDescent="0.25">
      <c r="A707">
        <v>775</v>
      </c>
      <c r="B707" t="s">
        <v>23</v>
      </c>
      <c r="D707">
        <v>1</v>
      </c>
      <c r="E707">
        <v>12</v>
      </c>
      <c r="F707">
        <v>0</v>
      </c>
      <c r="G707">
        <v>776</v>
      </c>
      <c r="H707">
        <v>775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 t="s">
        <v>24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</row>
    <row r="708" spans="1:21" x14ac:dyDescent="0.25">
      <c r="A708">
        <v>776</v>
      </c>
      <c r="B708" t="s">
        <v>23</v>
      </c>
      <c r="D708">
        <v>1</v>
      </c>
      <c r="E708">
        <v>12</v>
      </c>
      <c r="F708">
        <v>0</v>
      </c>
      <c r="G708">
        <v>777</v>
      </c>
      <c r="H708">
        <v>776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 t="s">
        <v>24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</row>
    <row r="709" spans="1:21" x14ac:dyDescent="0.25">
      <c r="A709">
        <v>777</v>
      </c>
      <c r="B709" t="s">
        <v>23</v>
      </c>
      <c r="D709">
        <v>1</v>
      </c>
      <c r="E709">
        <v>12</v>
      </c>
      <c r="F709">
        <v>0</v>
      </c>
      <c r="G709">
        <v>778</v>
      </c>
      <c r="H709">
        <v>777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 t="s">
        <v>24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</row>
    <row r="710" spans="1:21" x14ac:dyDescent="0.25">
      <c r="A710">
        <v>778</v>
      </c>
      <c r="B710" t="s">
        <v>23</v>
      </c>
      <c r="D710">
        <v>1</v>
      </c>
      <c r="E710">
        <v>12</v>
      </c>
      <c r="F710">
        <v>0</v>
      </c>
      <c r="G710">
        <v>779</v>
      </c>
      <c r="H710">
        <v>778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 t="s">
        <v>24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</row>
    <row r="711" spans="1:21" x14ac:dyDescent="0.25">
      <c r="A711">
        <v>779</v>
      </c>
      <c r="B711" t="s">
        <v>23</v>
      </c>
      <c r="D711">
        <v>1</v>
      </c>
      <c r="E711">
        <v>12</v>
      </c>
      <c r="F711">
        <v>0</v>
      </c>
      <c r="G711">
        <v>780</v>
      </c>
      <c r="H711">
        <v>779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 t="s">
        <v>24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</row>
    <row r="712" spans="1:21" x14ac:dyDescent="0.25">
      <c r="A712">
        <v>780</v>
      </c>
      <c r="B712" t="s">
        <v>23</v>
      </c>
      <c r="D712">
        <v>1</v>
      </c>
      <c r="E712">
        <v>12</v>
      </c>
      <c r="F712">
        <v>0</v>
      </c>
      <c r="G712">
        <v>781</v>
      </c>
      <c r="H712">
        <v>780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 t="s">
        <v>24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</row>
    <row r="713" spans="1:21" x14ac:dyDescent="0.25">
      <c r="A713">
        <v>781</v>
      </c>
      <c r="B713" t="s">
        <v>23</v>
      </c>
      <c r="D713">
        <v>1</v>
      </c>
      <c r="E713">
        <v>12</v>
      </c>
      <c r="F713">
        <v>0</v>
      </c>
      <c r="G713">
        <v>782</v>
      </c>
      <c r="H713">
        <v>781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 t="s">
        <v>24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</row>
    <row r="714" spans="1:21" x14ac:dyDescent="0.25">
      <c r="A714">
        <v>782</v>
      </c>
      <c r="B714" t="s">
        <v>23</v>
      </c>
      <c r="D714">
        <v>1</v>
      </c>
      <c r="E714">
        <v>12</v>
      </c>
      <c r="F714">
        <v>0</v>
      </c>
      <c r="G714">
        <v>783</v>
      </c>
      <c r="H714">
        <v>782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 t="s">
        <v>24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</row>
    <row r="715" spans="1:21" x14ac:dyDescent="0.25">
      <c r="A715">
        <v>783</v>
      </c>
      <c r="B715" t="s">
        <v>23</v>
      </c>
      <c r="D715">
        <v>1</v>
      </c>
      <c r="E715">
        <v>12</v>
      </c>
      <c r="F715">
        <v>0</v>
      </c>
      <c r="G715">
        <v>784</v>
      </c>
      <c r="H715">
        <v>783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 t="s">
        <v>24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</row>
    <row r="716" spans="1:21" x14ac:dyDescent="0.25">
      <c r="A716">
        <v>784</v>
      </c>
      <c r="B716" t="s">
        <v>23</v>
      </c>
      <c r="D716">
        <v>1</v>
      </c>
      <c r="E716">
        <v>12</v>
      </c>
      <c r="F716">
        <v>0</v>
      </c>
      <c r="G716">
        <v>785</v>
      </c>
      <c r="H716">
        <v>784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 t="s">
        <v>24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</row>
    <row r="717" spans="1:21" x14ac:dyDescent="0.25">
      <c r="A717">
        <v>785</v>
      </c>
      <c r="B717" t="s">
        <v>23</v>
      </c>
      <c r="D717">
        <v>1</v>
      </c>
      <c r="E717">
        <v>12</v>
      </c>
      <c r="F717">
        <v>0</v>
      </c>
      <c r="G717">
        <v>786</v>
      </c>
      <c r="H717">
        <v>785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 t="s">
        <v>24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</row>
    <row r="718" spans="1:21" x14ac:dyDescent="0.25">
      <c r="A718">
        <v>786</v>
      </c>
      <c r="B718" t="s">
        <v>23</v>
      </c>
      <c r="D718">
        <v>1</v>
      </c>
      <c r="E718">
        <v>12</v>
      </c>
      <c r="F718">
        <v>0</v>
      </c>
      <c r="G718">
        <v>787</v>
      </c>
      <c r="H718">
        <v>786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 t="s">
        <v>24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</row>
    <row r="719" spans="1:21" x14ac:dyDescent="0.25">
      <c r="A719">
        <v>787</v>
      </c>
      <c r="B719" t="s">
        <v>23</v>
      </c>
      <c r="D719">
        <v>1</v>
      </c>
      <c r="E719">
        <v>12</v>
      </c>
      <c r="F719">
        <v>0</v>
      </c>
      <c r="G719">
        <v>788</v>
      </c>
      <c r="H719">
        <v>787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 t="s">
        <v>24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</row>
    <row r="720" spans="1:21" x14ac:dyDescent="0.25">
      <c r="A720">
        <v>788</v>
      </c>
      <c r="B720" t="s">
        <v>23</v>
      </c>
      <c r="D720">
        <v>1</v>
      </c>
      <c r="E720">
        <v>12</v>
      </c>
      <c r="F720">
        <v>0</v>
      </c>
      <c r="G720">
        <v>789</v>
      </c>
      <c r="H720">
        <v>788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 t="s">
        <v>24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</row>
    <row r="721" spans="1:21" x14ac:dyDescent="0.25">
      <c r="A721">
        <v>789</v>
      </c>
      <c r="B721" t="s">
        <v>23</v>
      </c>
      <c r="D721">
        <v>1</v>
      </c>
      <c r="E721">
        <v>12</v>
      </c>
      <c r="F721">
        <v>0</v>
      </c>
      <c r="G721">
        <v>790</v>
      </c>
      <c r="H721">
        <v>789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 t="s">
        <v>24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</row>
    <row r="722" spans="1:21" x14ac:dyDescent="0.25">
      <c r="A722">
        <v>790</v>
      </c>
      <c r="B722" t="s">
        <v>23</v>
      </c>
      <c r="D722">
        <v>1</v>
      </c>
      <c r="E722">
        <v>12</v>
      </c>
      <c r="F722">
        <v>0</v>
      </c>
      <c r="G722">
        <v>791</v>
      </c>
      <c r="H722">
        <v>790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 t="s">
        <v>24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</row>
    <row r="723" spans="1:21" x14ac:dyDescent="0.25">
      <c r="A723">
        <v>791</v>
      </c>
      <c r="B723" t="s">
        <v>23</v>
      </c>
      <c r="D723">
        <v>1</v>
      </c>
      <c r="E723">
        <v>12</v>
      </c>
      <c r="F723">
        <v>0</v>
      </c>
      <c r="G723">
        <v>792</v>
      </c>
      <c r="H723">
        <v>791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 t="s">
        <v>24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</row>
    <row r="724" spans="1:21" x14ac:dyDescent="0.25">
      <c r="A724">
        <v>792</v>
      </c>
      <c r="B724" t="s">
        <v>23</v>
      </c>
      <c r="D724">
        <v>1</v>
      </c>
      <c r="E724">
        <v>12</v>
      </c>
      <c r="F724">
        <v>0</v>
      </c>
      <c r="G724">
        <v>793</v>
      </c>
      <c r="H724">
        <v>792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 t="s">
        <v>24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</row>
    <row r="725" spans="1:21" x14ac:dyDescent="0.25">
      <c r="A725">
        <v>793</v>
      </c>
      <c r="B725" t="s">
        <v>23</v>
      </c>
      <c r="D725">
        <v>1</v>
      </c>
      <c r="E725">
        <v>12</v>
      </c>
      <c r="F725">
        <v>0</v>
      </c>
      <c r="G725">
        <v>794</v>
      </c>
      <c r="H725">
        <v>793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 t="s">
        <v>24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</row>
    <row r="726" spans="1:21" x14ac:dyDescent="0.25">
      <c r="A726">
        <v>794</v>
      </c>
      <c r="B726" t="s">
        <v>23</v>
      </c>
      <c r="D726">
        <v>1</v>
      </c>
      <c r="E726">
        <v>11</v>
      </c>
      <c r="F726">
        <v>0</v>
      </c>
      <c r="G726">
        <v>795</v>
      </c>
      <c r="H726">
        <v>794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 t="s">
        <v>24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</row>
    <row r="727" spans="1:21" x14ac:dyDescent="0.25">
      <c r="A727">
        <v>795</v>
      </c>
      <c r="B727" t="s">
        <v>23</v>
      </c>
      <c r="D727">
        <v>1</v>
      </c>
      <c r="E727">
        <v>11</v>
      </c>
      <c r="F727">
        <v>0</v>
      </c>
      <c r="G727">
        <v>796</v>
      </c>
      <c r="H727">
        <v>795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 t="s">
        <v>24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</row>
    <row r="728" spans="1:21" x14ac:dyDescent="0.25">
      <c r="A728">
        <v>796</v>
      </c>
      <c r="B728" t="s">
        <v>23</v>
      </c>
      <c r="D728">
        <v>1</v>
      </c>
      <c r="E728">
        <v>11</v>
      </c>
      <c r="F728">
        <v>0</v>
      </c>
      <c r="G728">
        <v>797</v>
      </c>
      <c r="H728">
        <v>796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 t="s">
        <v>24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</row>
    <row r="729" spans="1:21" x14ac:dyDescent="0.25">
      <c r="A729">
        <v>797</v>
      </c>
      <c r="B729" t="s">
        <v>23</v>
      </c>
      <c r="D729">
        <v>1</v>
      </c>
      <c r="E729">
        <v>11</v>
      </c>
      <c r="F729">
        <v>0</v>
      </c>
      <c r="G729">
        <v>798</v>
      </c>
      <c r="H729">
        <v>797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 t="s">
        <v>24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</row>
    <row r="730" spans="1:21" x14ac:dyDescent="0.25">
      <c r="A730">
        <v>798</v>
      </c>
      <c r="B730" t="s">
        <v>23</v>
      </c>
      <c r="D730">
        <v>1</v>
      </c>
      <c r="E730">
        <v>11</v>
      </c>
      <c r="F730">
        <v>0</v>
      </c>
      <c r="G730">
        <v>799</v>
      </c>
      <c r="H730">
        <v>798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 t="s">
        <v>24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</row>
    <row r="731" spans="1:21" x14ac:dyDescent="0.25">
      <c r="A731">
        <v>799</v>
      </c>
      <c r="B731" t="s">
        <v>23</v>
      </c>
      <c r="D731">
        <v>1</v>
      </c>
      <c r="E731">
        <v>11</v>
      </c>
      <c r="F731">
        <v>0</v>
      </c>
      <c r="G731">
        <v>800</v>
      </c>
      <c r="H731">
        <v>799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 t="s">
        <v>24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</row>
    <row r="732" spans="1:21" x14ac:dyDescent="0.25">
      <c r="A732">
        <v>800</v>
      </c>
      <c r="B732" t="s">
        <v>23</v>
      </c>
      <c r="D732">
        <v>1</v>
      </c>
      <c r="E732">
        <v>11</v>
      </c>
      <c r="F732">
        <v>0</v>
      </c>
      <c r="G732">
        <v>801</v>
      </c>
      <c r="H732">
        <v>800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 t="s">
        <v>24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</row>
    <row r="733" spans="1:21" x14ac:dyDescent="0.25">
      <c r="A733">
        <v>801</v>
      </c>
      <c r="B733" t="s">
        <v>23</v>
      </c>
      <c r="D733">
        <v>1</v>
      </c>
      <c r="E733">
        <v>11</v>
      </c>
      <c r="F733">
        <v>0</v>
      </c>
      <c r="G733">
        <v>802</v>
      </c>
      <c r="H733">
        <v>801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 t="s">
        <v>24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</row>
    <row r="734" spans="1:21" x14ac:dyDescent="0.25">
      <c r="A734">
        <v>802</v>
      </c>
      <c r="B734" t="s">
        <v>23</v>
      </c>
      <c r="D734">
        <v>1</v>
      </c>
      <c r="E734">
        <v>11</v>
      </c>
      <c r="F734">
        <v>0</v>
      </c>
      <c r="G734">
        <v>803</v>
      </c>
      <c r="H734">
        <v>802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 t="s">
        <v>24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</row>
    <row r="735" spans="1:21" x14ac:dyDescent="0.25">
      <c r="A735">
        <v>803</v>
      </c>
      <c r="B735" t="s">
        <v>23</v>
      </c>
      <c r="D735">
        <v>1</v>
      </c>
      <c r="E735">
        <v>11</v>
      </c>
      <c r="F735">
        <v>0</v>
      </c>
      <c r="G735">
        <v>804</v>
      </c>
      <c r="H735">
        <v>803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 t="s">
        <v>24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</row>
    <row r="736" spans="1:21" x14ac:dyDescent="0.25">
      <c r="A736">
        <v>804</v>
      </c>
      <c r="B736" t="s">
        <v>23</v>
      </c>
      <c r="D736">
        <v>1</v>
      </c>
      <c r="E736">
        <v>11</v>
      </c>
      <c r="F736">
        <v>0</v>
      </c>
      <c r="G736">
        <v>805</v>
      </c>
      <c r="H736">
        <v>804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 t="s">
        <v>24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</row>
    <row r="737" spans="1:21" x14ac:dyDescent="0.25">
      <c r="A737">
        <v>805</v>
      </c>
      <c r="B737" t="s">
        <v>23</v>
      </c>
      <c r="D737">
        <v>1</v>
      </c>
      <c r="E737">
        <v>11</v>
      </c>
      <c r="F737">
        <v>0</v>
      </c>
      <c r="G737">
        <v>806</v>
      </c>
      <c r="H737">
        <v>805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 t="s">
        <v>24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</row>
    <row r="738" spans="1:21" x14ac:dyDescent="0.25">
      <c r="A738">
        <v>806</v>
      </c>
      <c r="B738" t="s">
        <v>23</v>
      </c>
      <c r="D738">
        <v>1</v>
      </c>
      <c r="E738">
        <v>11</v>
      </c>
      <c r="F738">
        <v>0</v>
      </c>
      <c r="G738">
        <v>807</v>
      </c>
      <c r="H738">
        <v>806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 t="s">
        <v>24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</row>
    <row r="739" spans="1:21" x14ac:dyDescent="0.25">
      <c r="A739">
        <v>807</v>
      </c>
      <c r="B739" t="s">
        <v>23</v>
      </c>
      <c r="D739">
        <v>1</v>
      </c>
      <c r="E739">
        <v>10</v>
      </c>
      <c r="F739">
        <v>0</v>
      </c>
      <c r="G739">
        <v>808</v>
      </c>
      <c r="H739">
        <v>807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 t="s">
        <v>24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</row>
    <row r="740" spans="1:21" x14ac:dyDescent="0.25">
      <c r="A740">
        <v>808</v>
      </c>
      <c r="B740" t="s">
        <v>23</v>
      </c>
      <c r="D740">
        <v>1</v>
      </c>
      <c r="E740">
        <v>10</v>
      </c>
      <c r="F740">
        <v>0</v>
      </c>
      <c r="G740">
        <v>809</v>
      </c>
      <c r="H740">
        <v>808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 t="s">
        <v>24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</row>
    <row r="741" spans="1:21" x14ac:dyDescent="0.25">
      <c r="A741">
        <v>809</v>
      </c>
      <c r="B741" t="s">
        <v>23</v>
      </c>
      <c r="D741">
        <v>1</v>
      </c>
      <c r="E741">
        <v>10</v>
      </c>
      <c r="F741">
        <v>0</v>
      </c>
      <c r="G741">
        <v>810</v>
      </c>
      <c r="H741">
        <v>809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 t="s">
        <v>24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</row>
    <row r="742" spans="1:21" x14ac:dyDescent="0.25">
      <c r="A742">
        <v>810</v>
      </c>
      <c r="B742" t="s">
        <v>23</v>
      </c>
      <c r="D742">
        <v>1</v>
      </c>
      <c r="E742">
        <v>10</v>
      </c>
      <c r="F742">
        <v>0</v>
      </c>
      <c r="G742">
        <v>811</v>
      </c>
      <c r="H742">
        <v>810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 t="s">
        <v>24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</row>
    <row r="743" spans="1:21" x14ac:dyDescent="0.25">
      <c r="A743">
        <v>811</v>
      </c>
      <c r="B743" t="s">
        <v>23</v>
      </c>
      <c r="D743">
        <v>1</v>
      </c>
      <c r="E743">
        <v>10</v>
      </c>
      <c r="F743">
        <v>0</v>
      </c>
      <c r="G743">
        <v>812</v>
      </c>
      <c r="H743">
        <v>811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 t="s">
        <v>24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</row>
    <row r="744" spans="1:21" x14ac:dyDescent="0.25">
      <c r="A744">
        <v>812</v>
      </c>
      <c r="B744" t="s">
        <v>23</v>
      </c>
      <c r="D744">
        <v>1</v>
      </c>
      <c r="E744">
        <v>10</v>
      </c>
      <c r="F744">
        <v>0</v>
      </c>
      <c r="G744">
        <v>813</v>
      </c>
      <c r="H744">
        <v>812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 t="s">
        <v>24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</row>
    <row r="745" spans="1:21" x14ac:dyDescent="0.25">
      <c r="A745">
        <v>813</v>
      </c>
      <c r="B745" t="s">
        <v>23</v>
      </c>
      <c r="D745">
        <v>1</v>
      </c>
      <c r="E745">
        <v>10</v>
      </c>
      <c r="F745">
        <v>0</v>
      </c>
      <c r="G745">
        <v>814</v>
      </c>
      <c r="H745">
        <v>813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 t="s">
        <v>24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</row>
    <row r="746" spans="1:21" x14ac:dyDescent="0.25">
      <c r="A746">
        <v>814</v>
      </c>
      <c r="B746" t="s">
        <v>23</v>
      </c>
      <c r="D746">
        <v>1</v>
      </c>
      <c r="E746">
        <v>10</v>
      </c>
      <c r="F746">
        <v>0</v>
      </c>
      <c r="G746">
        <v>815</v>
      </c>
      <c r="H746">
        <v>814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 t="s">
        <v>24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</row>
    <row r="747" spans="1:21" x14ac:dyDescent="0.25">
      <c r="A747">
        <v>815</v>
      </c>
      <c r="B747" t="s">
        <v>23</v>
      </c>
      <c r="D747">
        <v>1</v>
      </c>
      <c r="E747">
        <v>10</v>
      </c>
      <c r="F747">
        <v>0</v>
      </c>
      <c r="G747">
        <v>816</v>
      </c>
      <c r="H747">
        <v>815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 t="s">
        <v>24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</row>
    <row r="748" spans="1:21" x14ac:dyDescent="0.25">
      <c r="A748">
        <v>816</v>
      </c>
      <c r="B748" t="s">
        <v>23</v>
      </c>
      <c r="D748">
        <v>1</v>
      </c>
      <c r="E748">
        <v>10</v>
      </c>
      <c r="F748">
        <v>0</v>
      </c>
      <c r="G748">
        <v>817</v>
      </c>
      <c r="H748">
        <v>816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 t="s">
        <v>24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</row>
    <row r="749" spans="1:21" x14ac:dyDescent="0.25">
      <c r="A749">
        <v>817</v>
      </c>
      <c r="B749" t="s">
        <v>23</v>
      </c>
      <c r="D749">
        <v>1</v>
      </c>
      <c r="E749">
        <v>10</v>
      </c>
      <c r="F749">
        <v>0</v>
      </c>
      <c r="G749">
        <v>818</v>
      </c>
      <c r="H749">
        <v>817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 t="s">
        <v>24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</row>
    <row r="750" spans="1:21" x14ac:dyDescent="0.25">
      <c r="A750">
        <v>818</v>
      </c>
      <c r="B750" t="s">
        <v>23</v>
      </c>
      <c r="D750">
        <v>1</v>
      </c>
      <c r="E750">
        <v>10</v>
      </c>
      <c r="F750">
        <v>0</v>
      </c>
      <c r="G750">
        <v>819</v>
      </c>
      <c r="H750">
        <v>818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 t="s">
        <v>24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</row>
    <row r="751" spans="1:21" x14ac:dyDescent="0.25">
      <c r="A751">
        <v>819</v>
      </c>
      <c r="B751" t="s">
        <v>23</v>
      </c>
      <c r="D751">
        <v>1</v>
      </c>
      <c r="E751">
        <v>10</v>
      </c>
      <c r="F751">
        <v>0</v>
      </c>
      <c r="G751">
        <v>820</v>
      </c>
      <c r="H751">
        <v>819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 t="s">
        <v>24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</row>
    <row r="752" spans="1:21" x14ac:dyDescent="0.25">
      <c r="A752">
        <v>820</v>
      </c>
      <c r="B752" t="s">
        <v>23</v>
      </c>
      <c r="D752">
        <v>1</v>
      </c>
      <c r="E752">
        <v>9</v>
      </c>
      <c r="F752">
        <v>0</v>
      </c>
      <c r="G752">
        <v>821</v>
      </c>
      <c r="H752">
        <v>820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 t="s">
        <v>24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</row>
    <row r="753" spans="1:21" x14ac:dyDescent="0.25">
      <c r="A753">
        <v>821</v>
      </c>
      <c r="B753" t="s">
        <v>23</v>
      </c>
      <c r="D753">
        <v>1</v>
      </c>
      <c r="E753">
        <v>9</v>
      </c>
      <c r="F753">
        <v>0</v>
      </c>
      <c r="G753">
        <v>822</v>
      </c>
      <c r="H753">
        <v>821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 t="s">
        <v>24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</row>
    <row r="754" spans="1:21" x14ac:dyDescent="0.25">
      <c r="A754">
        <v>822</v>
      </c>
      <c r="B754" t="s">
        <v>23</v>
      </c>
      <c r="D754">
        <v>1</v>
      </c>
      <c r="E754">
        <v>9</v>
      </c>
      <c r="F754">
        <v>0</v>
      </c>
      <c r="G754">
        <v>823</v>
      </c>
      <c r="H754">
        <v>822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 t="s">
        <v>24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</row>
    <row r="755" spans="1:21" x14ac:dyDescent="0.25">
      <c r="A755">
        <v>823</v>
      </c>
      <c r="B755" t="s">
        <v>23</v>
      </c>
      <c r="D755">
        <v>1</v>
      </c>
      <c r="E755">
        <v>9</v>
      </c>
      <c r="F755">
        <v>0</v>
      </c>
      <c r="G755">
        <v>824</v>
      </c>
      <c r="H755">
        <v>823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 t="s">
        <v>24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</row>
    <row r="756" spans="1:21" x14ac:dyDescent="0.25">
      <c r="A756">
        <v>824</v>
      </c>
      <c r="B756" t="s">
        <v>23</v>
      </c>
      <c r="D756">
        <v>1</v>
      </c>
      <c r="E756">
        <v>9</v>
      </c>
      <c r="F756">
        <v>0</v>
      </c>
      <c r="G756">
        <v>825</v>
      </c>
      <c r="H756">
        <v>824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 t="s">
        <v>24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</row>
    <row r="757" spans="1:21" x14ac:dyDescent="0.25">
      <c r="A757">
        <v>825</v>
      </c>
      <c r="B757" t="s">
        <v>23</v>
      </c>
      <c r="D757">
        <v>1</v>
      </c>
      <c r="E757">
        <v>9</v>
      </c>
      <c r="F757">
        <v>0</v>
      </c>
      <c r="G757">
        <v>826</v>
      </c>
      <c r="H757">
        <v>825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 t="s">
        <v>24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</row>
    <row r="758" spans="1:21" x14ac:dyDescent="0.25">
      <c r="A758">
        <v>826</v>
      </c>
      <c r="B758" t="s">
        <v>23</v>
      </c>
      <c r="D758">
        <v>1</v>
      </c>
      <c r="E758">
        <v>9</v>
      </c>
      <c r="F758">
        <v>0</v>
      </c>
      <c r="G758">
        <v>827</v>
      </c>
      <c r="H758">
        <v>826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 t="s">
        <v>24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</row>
    <row r="759" spans="1:21" x14ac:dyDescent="0.25">
      <c r="A759">
        <v>827</v>
      </c>
      <c r="B759" t="s">
        <v>23</v>
      </c>
      <c r="D759">
        <v>1</v>
      </c>
      <c r="E759">
        <v>9</v>
      </c>
      <c r="F759">
        <v>0</v>
      </c>
      <c r="G759">
        <v>828</v>
      </c>
      <c r="H759">
        <v>827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 t="s">
        <v>24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</row>
    <row r="760" spans="1:21" x14ac:dyDescent="0.25">
      <c r="A760">
        <v>828</v>
      </c>
      <c r="B760" t="s">
        <v>23</v>
      </c>
      <c r="D760">
        <v>1</v>
      </c>
      <c r="E760">
        <v>9</v>
      </c>
      <c r="F760">
        <v>0</v>
      </c>
      <c r="G760">
        <v>829</v>
      </c>
      <c r="H760">
        <v>828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 t="s">
        <v>24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</row>
    <row r="761" spans="1:21" x14ac:dyDescent="0.25">
      <c r="A761">
        <v>829</v>
      </c>
      <c r="B761" t="s">
        <v>23</v>
      </c>
      <c r="D761">
        <v>1</v>
      </c>
      <c r="E761">
        <v>9</v>
      </c>
      <c r="F761">
        <v>0</v>
      </c>
      <c r="G761">
        <v>830</v>
      </c>
      <c r="H761">
        <v>829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 t="s">
        <v>24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</row>
    <row r="762" spans="1:21" x14ac:dyDescent="0.25">
      <c r="A762">
        <v>830</v>
      </c>
      <c r="B762" t="s">
        <v>23</v>
      </c>
      <c r="D762">
        <v>1</v>
      </c>
      <c r="E762">
        <v>9</v>
      </c>
      <c r="F762">
        <v>0</v>
      </c>
      <c r="G762">
        <v>831</v>
      </c>
      <c r="H762">
        <v>830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 t="s">
        <v>24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</row>
    <row r="763" spans="1:21" x14ac:dyDescent="0.25">
      <c r="A763">
        <v>831</v>
      </c>
      <c r="B763" t="s">
        <v>23</v>
      </c>
      <c r="D763">
        <v>1</v>
      </c>
      <c r="E763">
        <v>9</v>
      </c>
      <c r="F763">
        <v>0</v>
      </c>
      <c r="G763">
        <v>832</v>
      </c>
      <c r="H763">
        <v>831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 t="s">
        <v>24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</row>
    <row r="764" spans="1:21" x14ac:dyDescent="0.25">
      <c r="A764">
        <v>832</v>
      </c>
      <c r="B764" t="s">
        <v>23</v>
      </c>
      <c r="D764">
        <v>1</v>
      </c>
      <c r="E764">
        <v>9</v>
      </c>
      <c r="F764">
        <v>0</v>
      </c>
      <c r="G764">
        <v>833</v>
      </c>
      <c r="H764">
        <v>832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 t="s">
        <v>24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</row>
    <row r="765" spans="1:21" x14ac:dyDescent="0.25">
      <c r="A765">
        <v>833</v>
      </c>
      <c r="B765" t="s">
        <v>23</v>
      </c>
      <c r="D765">
        <v>1</v>
      </c>
      <c r="E765">
        <v>8</v>
      </c>
      <c r="F765">
        <v>0</v>
      </c>
      <c r="G765">
        <v>834</v>
      </c>
      <c r="H765">
        <v>833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 t="s">
        <v>24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</row>
    <row r="766" spans="1:21" x14ac:dyDescent="0.25">
      <c r="A766">
        <v>834</v>
      </c>
      <c r="B766" t="s">
        <v>23</v>
      </c>
      <c r="D766">
        <v>1</v>
      </c>
      <c r="E766">
        <v>8</v>
      </c>
      <c r="F766">
        <v>0</v>
      </c>
      <c r="G766">
        <v>835</v>
      </c>
      <c r="H766">
        <v>834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 t="s">
        <v>24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</row>
    <row r="767" spans="1:21" x14ac:dyDescent="0.25">
      <c r="A767">
        <v>835</v>
      </c>
      <c r="B767" t="s">
        <v>23</v>
      </c>
      <c r="D767">
        <v>1</v>
      </c>
      <c r="E767">
        <v>8</v>
      </c>
      <c r="F767">
        <v>0</v>
      </c>
      <c r="G767">
        <v>836</v>
      </c>
      <c r="H767">
        <v>835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 t="s">
        <v>24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</row>
    <row r="768" spans="1:21" x14ac:dyDescent="0.25">
      <c r="A768">
        <v>836</v>
      </c>
      <c r="B768" t="s">
        <v>23</v>
      </c>
      <c r="D768">
        <v>1</v>
      </c>
      <c r="E768">
        <v>8</v>
      </c>
      <c r="F768">
        <v>0</v>
      </c>
      <c r="G768">
        <v>837</v>
      </c>
      <c r="H768">
        <v>836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 t="s">
        <v>24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</row>
    <row r="769" spans="1:21" x14ac:dyDescent="0.25">
      <c r="A769">
        <v>837</v>
      </c>
      <c r="B769" t="s">
        <v>23</v>
      </c>
      <c r="D769">
        <v>1</v>
      </c>
      <c r="E769">
        <v>8</v>
      </c>
      <c r="F769">
        <v>0</v>
      </c>
      <c r="G769">
        <v>838</v>
      </c>
      <c r="H769">
        <v>837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 t="s">
        <v>24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</row>
    <row r="770" spans="1:21" x14ac:dyDescent="0.25">
      <c r="A770">
        <v>838</v>
      </c>
      <c r="B770" t="s">
        <v>23</v>
      </c>
      <c r="D770">
        <v>1</v>
      </c>
      <c r="E770">
        <v>8</v>
      </c>
      <c r="F770">
        <v>0</v>
      </c>
      <c r="G770">
        <v>839</v>
      </c>
      <c r="H770">
        <v>838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 t="s">
        <v>24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</row>
    <row r="771" spans="1:21" x14ac:dyDescent="0.25">
      <c r="A771">
        <v>839</v>
      </c>
      <c r="B771" t="s">
        <v>23</v>
      </c>
      <c r="D771">
        <v>1</v>
      </c>
      <c r="E771">
        <v>8</v>
      </c>
      <c r="F771">
        <v>0</v>
      </c>
      <c r="G771">
        <v>840</v>
      </c>
      <c r="H771">
        <v>839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 t="s">
        <v>24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</row>
    <row r="772" spans="1:21" x14ac:dyDescent="0.25">
      <c r="A772">
        <v>840</v>
      </c>
      <c r="B772" t="s">
        <v>23</v>
      </c>
      <c r="D772">
        <v>1</v>
      </c>
      <c r="E772">
        <v>8</v>
      </c>
      <c r="F772">
        <v>0</v>
      </c>
      <c r="G772">
        <v>841</v>
      </c>
      <c r="H772">
        <v>840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 t="s">
        <v>24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</row>
    <row r="773" spans="1:21" x14ac:dyDescent="0.25">
      <c r="A773">
        <v>841</v>
      </c>
      <c r="B773" t="s">
        <v>23</v>
      </c>
      <c r="D773">
        <v>1</v>
      </c>
      <c r="E773">
        <v>8</v>
      </c>
      <c r="F773">
        <v>0</v>
      </c>
      <c r="G773">
        <v>842</v>
      </c>
      <c r="H773">
        <v>841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 t="s">
        <v>24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</row>
    <row r="774" spans="1:21" x14ac:dyDescent="0.25">
      <c r="A774">
        <v>842</v>
      </c>
      <c r="B774" t="s">
        <v>23</v>
      </c>
      <c r="D774">
        <v>1</v>
      </c>
      <c r="E774">
        <v>8</v>
      </c>
      <c r="F774">
        <v>0</v>
      </c>
      <c r="G774">
        <v>843</v>
      </c>
      <c r="H774">
        <v>842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 t="s">
        <v>24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</row>
    <row r="775" spans="1:21" x14ac:dyDescent="0.25">
      <c r="A775">
        <v>843</v>
      </c>
      <c r="B775" t="s">
        <v>23</v>
      </c>
      <c r="D775">
        <v>1</v>
      </c>
      <c r="E775">
        <v>8</v>
      </c>
      <c r="F775">
        <v>0</v>
      </c>
      <c r="G775">
        <v>844</v>
      </c>
      <c r="H775">
        <v>843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 t="s">
        <v>24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</row>
    <row r="776" spans="1:21" x14ac:dyDescent="0.25">
      <c r="A776">
        <v>844</v>
      </c>
      <c r="B776" t="s">
        <v>23</v>
      </c>
      <c r="D776">
        <v>1</v>
      </c>
      <c r="E776">
        <v>8</v>
      </c>
      <c r="F776">
        <v>0</v>
      </c>
      <c r="G776">
        <v>845</v>
      </c>
      <c r="H776">
        <v>844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 t="s">
        <v>24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</row>
    <row r="777" spans="1:21" x14ac:dyDescent="0.25">
      <c r="A777">
        <v>845</v>
      </c>
      <c r="B777" t="s">
        <v>23</v>
      </c>
      <c r="D777">
        <v>1</v>
      </c>
      <c r="E777">
        <v>8</v>
      </c>
      <c r="F777">
        <v>0</v>
      </c>
      <c r="G777">
        <v>846</v>
      </c>
      <c r="H777">
        <v>845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 t="s">
        <v>24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</row>
    <row r="778" spans="1:21" x14ac:dyDescent="0.25">
      <c r="A778">
        <v>846</v>
      </c>
      <c r="B778" t="s">
        <v>23</v>
      </c>
      <c r="D778">
        <v>1</v>
      </c>
      <c r="E778">
        <v>7</v>
      </c>
      <c r="F778">
        <v>0</v>
      </c>
      <c r="G778">
        <v>847</v>
      </c>
      <c r="H778">
        <v>846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 t="s">
        <v>24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</row>
    <row r="779" spans="1:21" x14ac:dyDescent="0.25">
      <c r="A779">
        <v>847</v>
      </c>
      <c r="B779" t="s">
        <v>23</v>
      </c>
      <c r="D779">
        <v>1</v>
      </c>
      <c r="E779">
        <v>7</v>
      </c>
      <c r="F779">
        <v>0</v>
      </c>
      <c r="G779">
        <v>848</v>
      </c>
      <c r="H779">
        <v>847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 t="s">
        <v>24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</row>
    <row r="780" spans="1:21" x14ac:dyDescent="0.25">
      <c r="A780">
        <v>848</v>
      </c>
      <c r="B780" t="s">
        <v>23</v>
      </c>
      <c r="D780">
        <v>1</v>
      </c>
      <c r="E780">
        <v>7</v>
      </c>
      <c r="F780">
        <v>0</v>
      </c>
      <c r="G780">
        <v>849</v>
      </c>
      <c r="H780">
        <v>848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 t="s">
        <v>24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</row>
    <row r="781" spans="1:21" x14ac:dyDescent="0.25">
      <c r="A781">
        <v>849</v>
      </c>
      <c r="B781" t="s">
        <v>23</v>
      </c>
      <c r="D781">
        <v>1</v>
      </c>
      <c r="E781">
        <v>7</v>
      </c>
      <c r="F781">
        <v>0</v>
      </c>
      <c r="G781">
        <v>850</v>
      </c>
      <c r="H781">
        <v>849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 t="s">
        <v>24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</row>
    <row r="782" spans="1:21" x14ac:dyDescent="0.25">
      <c r="A782">
        <v>850</v>
      </c>
      <c r="B782" t="s">
        <v>23</v>
      </c>
      <c r="D782">
        <v>1</v>
      </c>
      <c r="E782">
        <v>7</v>
      </c>
      <c r="F782">
        <v>0</v>
      </c>
      <c r="G782">
        <v>851</v>
      </c>
      <c r="H782">
        <v>850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 t="s">
        <v>24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</row>
    <row r="783" spans="1:21" x14ac:dyDescent="0.25">
      <c r="A783">
        <v>851</v>
      </c>
      <c r="B783" t="s">
        <v>23</v>
      </c>
      <c r="D783">
        <v>1</v>
      </c>
      <c r="E783">
        <v>7</v>
      </c>
      <c r="F783">
        <v>0</v>
      </c>
      <c r="G783">
        <v>852</v>
      </c>
      <c r="H783">
        <v>851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 t="s">
        <v>24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</row>
    <row r="784" spans="1:21" x14ac:dyDescent="0.25">
      <c r="A784">
        <v>852</v>
      </c>
      <c r="B784" t="s">
        <v>23</v>
      </c>
      <c r="D784">
        <v>1</v>
      </c>
      <c r="E784">
        <v>7</v>
      </c>
      <c r="F784">
        <v>0</v>
      </c>
      <c r="G784">
        <v>853</v>
      </c>
      <c r="H784">
        <v>852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 t="s">
        <v>24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</row>
    <row r="785" spans="1:21" x14ac:dyDescent="0.25">
      <c r="A785">
        <v>853</v>
      </c>
      <c r="B785" t="s">
        <v>23</v>
      </c>
      <c r="D785">
        <v>1</v>
      </c>
      <c r="E785">
        <v>7</v>
      </c>
      <c r="F785">
        <v>0</v>
      </c>
      <c r="G785">
        <v>854</v>
      </c>
      <c r="H785">
        <v>853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 t="s">
        <v>24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</row>
    <row r="786" spans="1:21" x14ac:dyDescent="0.25">
      <c r="A786">
        <v>854</v>
      </c>
      <c r="B786" t="s">
        <v>23</v>
      </c>
      <c r="D786">
        <v>1</v>
      </c>
      <c r="E786">
        <v>7</v>
      </c>
      <c r="F786">
        <v>0</v>
      </c>
      <c r="G786">
        <v>855</v>
      </c>
      <c r="H786">
        <v>854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 t="s">
        <v>24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</row>
    <row r="787" spans="1:21" x14ac:dyDescent="0.25">
      <c r="A787">
        <v>855</v>
      </c>
      <c r="B787" t="s">
        <v>23</v>
      </c>
      <c r="D787">
        <v>1</v>
      </c>
      <c r="E787">
        <v>7</v>
      </c>
      <c r="F787">
        <v>0</v>
      </c>
      <c r="G787">
        <v>856</v>
      </c>
      <c r="H787">
        <v>855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 t="s">
        <v>24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</row>
    <row r="788" spans="1:21" x14ac:dyDescent="0.25">
      <c r="A788">
        <v>856</v>
      </c>
      <c r="B788" t="s">
        <v>23</v>
      </c>
      <c r="D788">
        <v>1</v>
      </c>
      <c r="E788">
        <v>7</v>
      </c>
      <c r="F788">
        <v>0</v>
      </c>
      <c r="G788">
        <v>857</v>
      </c>
      <c r="H788">
        <v>856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 t="s">
        <v>24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</row>
    <row r="789" spans="1:21" x14ac:dyDescent="0.25">
      <c r="A789">
        <v>857</v>
      </c>
      <c r="B789" t="s">
        <v>23</v>
      </c>
      <c r="D789">
        <v>1</v>
      </c>
      <c r="E789">
        <v>7</v>
      </c>
      <c r="F789">
        <v>0</v>
      </c>
      <c r="G789">
        <v>858</v>
      </c>
      <c r="H789">
        <v>857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 t="s">
        <v>24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</row>
    <row r="790" spans="1:21" x14ac:dyDescent="0.25">
      <c r="A790">
        <v>858</v>
      </c>
      <c r="B790" t="s">
        <v>23</v>
      </c>
      <c r="D790">
        <v>1</v>
      </c>
      <c r="E790">
        <v>7</v>
      </c>
      <c r="F790">
        <v>0</v>
      </c>
      <c r="G790">
        <v>859</v>
      </c>
      <c r="H790">
        <v>858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 t="s">
        <v>24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</row>
    <row r="791" spans="1:21" x14ac:dyDescent="0.25">
      <c r="A791">
        <v>859</v>
      </c>
      <c r="B791" t="s">
        <v>23</v>
      </c>
      <c r="D791">
        <v>1</v>
      </c>
      <c r="E791">
        <v>6</v>
      </c>
      <c r="F791">
        <v>0</v>
      </c>
      <c r="G791">
        <v>860</v>
      </c>
      <c r="H791">
        <v>859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 t="s">
        <v>24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</row>
    <row r="792" spans="1:21" x14ac:dyDescent="0.25">
      <c r="A792">
        <v>860</v>
      </c>
      <c r="B792" t="s">
        <v>23</v>
      </c>
      <c r="D792">
        <v>1</v>
      </c>
      <c r="E792">
        <v>6</v>
      </c>
      <c r="F792">
        <v>0</v>
      </c>
      <c r="G792">
        <v>861</v>
      </c>
      <c r="H792">
        <v>860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 t="s">
        <v>24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</row>
    <row r="793" spans="1:21" x14ac:dyDescent="0.25">
      <c r="A793">
        <v>861</v>
      </c>
      <c r="B793" t="s">
        <v>23</v>
      </c>
      <c r="D793">
        <v>1</v>
      </c>
      <c r="E793">
        <v>6</v>
      </c>
      <c r="F793">
        <v>0</v>
      </c>
      <c r="G793">
        <v>862</v>
      </c>
      <c r="H793">
        <v>861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 t="s">
        <v>24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</row>
    <row r="794" spans="1:21" x14ac:dyDescent="0.25">
      <c r="A794">
        <v>862</v>
      </c>
      <c r="B794" t="s">
        <v>23</v>
      </c>
      <c r="D794">
        <v>1</v>
      </c>
      <c r="E794">
        <v>6</v>
      </c>
      <c r="F794">
        <v>0</v>
      </c>
      <c r="G794">
        <v>863</v>
      </c>
      <c r="H794">
        <v>862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 t="s">
        <v>24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</row>
    <row r="795" spans="1:21" x14ac:dyDescent="0.25">
      <c r="A795">
        <v>863</v>
      </c>
      <c r="B795" t="s">
        <v>23</v>
      </c>
      <c r="D795">
        <v>1</v>
      </c>
      <c r="E795">
        <v>6</v>
      </c>
      <c r="F795">
        <v>0</v>
      </c>
      <c r="G795">
        <v>864</v>
      </c>
      <c r="H795">
        <v>863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 t="s">
        <v>24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</row>
    <row r="796" spans="1:21" x14ac:dyDescent="0.25">
      <c r="A796">
        <v>864</v>
      </c>
      <c r="B796" t="s">
        <v>23</v>
      </c>
      <c r="D796">
        <v>1</v>
      </c>
      <c r="E796">
        <v>6</v>
      </c>
      <c r="F796">
        <v>0</v>
      </c>
      <c r="G796">
        <v>865</v>
      </c>
      <c r="H796">
        <v>864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 t="s">
        <v>24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</row>
    <row r="797" spans="1:21" x14ac:dyDescent="0.25">
      <c r="A797">
        <v>865</v>
      </c>
      <c r="B797" t="s">
        <v>23</v>
      </c>
      <c r="D797">
        <v>1</v>
      </c>
      <c r="E797">
        <v>6</v>
      </c>
      <c r="F797">
        <v>0</v>
      </c>
      <c r="G797">
        <v>866</v>
      </c>
      <c r="H797">
        <v>865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 t="s">
        <v>24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</row>
    <row r="798" spans="1:21" x14ac:dyDescent="0.25">
      <c r="A798">
        <v>866</v>
      </c>
      <c r="B798" t="s">
        <v>23</v>
      </c>
      <c r="D798">
        <v>1</v>
      </c>
      <c r="E798">
        <v>6</v>
      </c>
      <c r="F798">
        <v>0</v>
      </c>
      <c r="G798">
        <v>867</v>
      </c>
      <c r="H798">
        <v>866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 t="s">
        <v>24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</row>
    <row r="799" spans="1:21" x14ac:dyDescent="0.25">
      <c r="A799">
        <v>867</v>
      </c>
      <c r="B799" t="s">
        <v>23</v>
      </c>
      <c r="D799">
        <v>1</v>
      </c>
      <c r="E799">
        <v>6</v>
      </c>
      <c r="F799">
        <v>0</v>
      </c>
      <c r="G799">
        <v>868</v>
      </c>
      <c r="H799">
        <v>867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 t="s">
        <v>24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</row>
    <row r="800" spans="1:21" x14ac:dyDescent="0.25">
      <c r="A800">
        <v>868</v>
      </c>
      <c r="B800" t="s">
        <v>23</v>
      </c>
      <c r="D800">
        <v>1</v>
      </c>
      <c r="E800">
        <v>6</v>
      </c>
      <c r="F800">
        <v>0</v>
      </c>
      <c r="G800">
        <v>869</v>
      </c>
      <c r="H800">
        <v>868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 t="s">
        <v>24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</row>
    <row r="801" spans="1:21" x14ac:dyDescent="0.25">
      <c r="A801">
        <v>869</v>
      </c>
      <c r="B801" t="s">
        <v>23</v>
      </c>
      <c r="D801">
        <v>1</v>
      </c>
      <c r="E801">
        <v>6</v>
      </c>
      <c r="F801">
        <v>0</v>
      </c>
      <c r="G801">
        <v>870</v>
      </c>
      <c r="H801">
        <v>869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 t="s">
        <v>24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</row>
    <row r="802" spans="1:21" x14ac:dyDescent="0.25">
      <c r="A802">
        <v>870</v>
      </c>
      <c r="B802" t="s">
        <v>23</v>
      </c>
      <c r="D802">
        <v>1</v>
      </c>
      <c r="E802">
        <v>6</v>
      </c>
      <c r="F802">
        <v>0</v>
      </c>
      <c r="G802">
        <v>871</v>
      </c>
      <c r="H802">
        <v>870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 t="s">
        <v>24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</row>
    <row r="803" spans="1:21" x14ac:dyDescent="0.25">
      <c r="A803">
        <v>871</v>
      </c>
      <c r="B803" t="s">
        <v>23</v>
      </c>
      <c r="D803">
        <v>1</v>
      </c>
      <c r="E803">
        <v>6</v>
      </c>
      <c r="F803">
        <v>0</v>
      </c>
      <c r="G803">
        <v>872</v>
      </c>
      <c r="H803">
        <v>871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 t="s">
        <v>24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</row>
    <row r="804" spans="1:21" x14ac:dyDescent="0.25">
      <c r="A804">
        <v>872</v>
      </c>
      <c r="B804" t="s">
        <v>23</v>
      </c>
      <c r="D804">
        <v>1</v>
      </c>
      <c r="E804">
        <v>5</v>
      </c>
      <c r="F804">
        <v>0</v>
      </c>
      <c r="G804">
        <v>873</v>
      </c>
      <c r="H804">
        <v>872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 t="s">
        <v>24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</row>
    <row r="805" spans="1:21" x14ac:dyDescent="0.25">
      <c r="A805">
        <v>873</v>
      </c>
      <c r="B805" t="s">
        <v>23</v>
      </c>
      <c r="D805">
        <v>1</v>
      </c>
      <c r="E805">
        <v>5</v>
      </c>
      <c r="F805">
        <v>0</v>
      </c>
      <c r="G805">
        <v>874</v>
      </c>
      <c r="H805">
        <v>873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 t="s">
        <v>24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</row>
    <row r="806" spans="1:21" x14ac:dyDescent="0.25">
      <c r="A806">
        <v>874</v>
      </c>
      <c r="B806" t="s">
        <v>23</v>
      </c>
      <c r="D806">
        <v>1</v>
      </c>
      <c r="E806">
        <v>5</v>
      </c>
      <c r="F806">
        <v>0</v>
      </c>
      <c r="G806">
        <v>875</v>
      </c>
      <c r="H806">
        <v>874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 t="s">
        <v>24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</row>
    <row r="807" spans="1:21" x14ac:dyDescent="0.25">
      <c r="A807">
        <v>875</v>
      </c>
      <c r="B807" t="s">
        <v>23</v>
      </c>
      <c r="D807">
        <v>1</v>
      </c>
      <c r="E807">
        <v>5</v>
      </c>
      <c r="F807">
        <v>0</v>
      </c>
      <c r="G807">
        <v>876</v>
      </c>
      <c r="H807">
        <v>875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 t="s">
        <v>24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</row>
    <row r="808" spans="1:21" x14ac:dyDescent="0.25">
      <c r="A808">
        <v>876</v>
      </c>
      <c r="B808" t="s">
        <v>23</v>
      </c>
      <c r="D808">
        <v>1</v>
      </c>
      <c r="E808">
        <v>5</v>
      </c>
      <c r="F808">
        <v>0</v>
      </c>
      <c r="G808">
        <v>877</v>
      </c>
      <c r="H808">
        <v>876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 t="s">
        <v>24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</row>
    <row r="809" spans="1:21" x14ac:dyDescent="0.25">
      <c r="A809">
        <v>877</v>
      </c>
      <c r="B809" t="s">
        <v>23</v>
      </c>
      <c r="D809">
        <v>1</v>
      </c>
      <c r="E809">
        <v>5</v>
      </c>
      <c r="F809">
        <v>0</v>
      </c>
      <c r="G809">
        <v>878</v>
      </c>
      <c r="H809">
        <v>877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 t="s">
        <v>24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</row>
    <row r="810" spans="1:21" x14ac:dyDescent="0.25">
      <c r="A810">
        <v>878</v>
      </c>
      <c r="B810" t="s">
        <v>23</v>
      </c>
      <c r="D810">
        <v>1</v>
      </c>
      <c r="E810">
        <v>5</v>
      </c>
      <c r="F810">
        <v>0</v>
      </c>
      <c r="G810">
        <v>879</v>
      </c>
      <c r="H810">
        <v>878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 t="s">
        <v>24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</row>
    <row r="811" spans="1:21" x14ac:dyDescent="0.25">
      <c r="A811">
        <v>879</v>
      </c>
      <c r="B811" t="s">
        <v>23</v>
      </c>
      <c r="D811">
        <v>1</v>
      </c>
      <c r="E811">
        <v>5</v>
      </c>
      <c r="F811">
        <v>0</v>
      </c>
      <c r="G811">
        <v>880</v>
      </c>
      <c r="H811">
        <v>879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 t="s">
        <v>24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</row>
    <row r="812" spans="1:21" x14ac:dyDescent="0.25">
      <c r="A812">
        <v>880</v>
      </c>
      <c r="B812" t="s">
        <v>23</v>
      </c>
      <c r="D812">
        <v>1</v>
      </c>
      <c r="E812">
        <v>5</v>
      </c>
      <c r="F812">
        <v>0</v>
      </c>
      <c r="G812">
        <v>881</v>
      </c>
      <c r="H812">
        <v>880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 t="s">
        <v>24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</row>
    <row r="813" spans="1:21" x14ac:dyDescent="0.25">
      <c r="A813">
        <v>881</v>
      </c>
      <c r="B813" t="s">
        <v>23</v>
      </c>
      <c r="D813">
        <v>1</v>
      </c>
      <c r="E813">
        <v>5</v>
      </c>
      <c r="F813">
        <v>0</v>
      </c>
      <c r="G813">
        <v>882</v>
      </c>
      <c r="H813">
        <v>881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 t="s">
        <v>24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</row>
    <row r="814" spans="1:21" x14ac:dyDescent="0.25">
      <c r="A814">
        <v>882</v>
      </c>
      <c r="B814" t="s">
        <v>23</v>
      </c>
      <c r="D814">
        <v>1</v>
      </c>
      <c r="E814">
        <v>5</v>
      </c>
      <c r="F814">
        <v>0</v>
      </c>
      <c r="G814">
        <v>883</v>
      </c>
      <c r="H814">
        <v>882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 t="s">
        <v>24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</row>
    <row r="815" spans="1:21" x14ac:dyDescent="0.25">
      <c r="A815">
        <v>883</v>
      </c>
      <c r="B815" t="s">
        <v>23</v>
      </c>
      <c r="D815">
        <v>1</v>
      </c>
      <c r="E815">
        <v>5</v>
      </c>
      <c r="F815">
        <v>0</v>
      </c>
      <c r="G815">
        <v>884</v>
      </c>
      <c r="H815">
        <v>883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 t="s">
        <v>24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</row>
    <row r="816" spans="1:21" x14ac:dyDescent="0.25">
      <c r="A816">
        <v>884</v>
      </c>
      <c r="B816" t="s">
        <v>23</v>
      </c>
      <c r="D816">
        <v>1</v>
      </c>
      <c r="E816">
        <v>5</v>
      </c>
      <c r="F816">
        <v>0</v>
      </c>
      <c r="G816">
        <v>885</v>
      </c>
      <c r="H816">
        <v>884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 t="s">
        <v>24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</row>
    <row r="817" spans="1:21" x14ac:dyDescent="0.25">
      <c r="A817">
        <v>885</v>
      </c>
      <c r="B817" t="s">
        <v>23</v>
      </c>
      <c r="D817">
        <v>1</v>
      </c>
      <c r="E817">
        <v>4</v>
      </c>
      <c r="F817">
        <v>0</v>
      </c>
      <c r="G817">
        <v>886</v>
      </c>
      <c r="H817">
        <v>885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 t="s">
        <v>24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</row>
    <row r="818" spans="1:21" x14ac:dyDescent="0.25">
      <c r="A818">
        <v>886</v>
      </c>
      <c r="B818" t="s">
        <v>23</v>
      </c>
      <c r="D818">
        <v>1</v>
      </c>
      <c r="E818">
        <v>4</v>
      </c>
      <c r="F818">
        <v>0</v>
      </c>
      <c r="G818">
        <v>887</v>
      </c>
      <c r="H818">
        <v>886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 t="s">
        <v>24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</row>
    <row r="819" spans="1:21" x14ac:dyDescent="0.25">
      <c r="A819">
        <v>887</v>
      </c>
      <c r="B819" t="s">
        <v>23</v>
      </c>
      <c r="D819">
        <v>1</v>
      </c>
      <c r="E819">
        <v>4</v>
      </c>
      <c r="F819">
        <v>0</v>
      </c>
      <c r="G819">
        <v>888</v>
      </c>
      <c r="H819">
        <v>887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 t="s">
        <v>24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</row>
    <row r="820" spans="1:21" x14ac:dyDescent="0.25">
      <c r="A820">
        <v>888</v>
      </c>
      <c r="B820" t="s">
        <v>23</v>
      </c>
      <c r="D820">
        <v>1</v>
      </c>
      <c r="E820">
        <v>4</v>
      </c>
      <c r="F820">
        <v>0</v>
      </c>
      <c r="G820">
        <v>889</v>
      </c>
      <c r="H820">
        <v>888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 t="s">
        <v>24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</row>
    <row r="821" spans="1:21" x14ac:dyDescent="0.25">
      <c r="A821">
        <v>889</v>
      </c>
      <c r="B821" t="s">
        <v>23</v>
      </c>
      <c r="D821">
        <v>1</v>
      </c>
      <c r="E821">
        <v>4</v>
      </c>
      <c r="F821">
        <v>0</v>
      </c>
      <c r="G821">
        <v>890</v>
      </c>
      <c r="H821">
        <v>889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 t="s">
        <v>24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</row>
    <row r="822" spans="1:21" x14ac:dyDescent="0.25">
      <c r="A822">
        <v>890</v>
      </c>
      <c r="B822" t="s">
        <v>23</v>
      </c>
      <c r="D822">
        <v>1</v>
      </c>
      <c r="E822">
        <v>4</v>
      </c>
      <c r="F822">
        <v>0</v>
      </c>
      <c r="G822">
        <v>891</v>
      </c>
      <c r="H822">
        <v>890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 t="s">
        <v>24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</row>
    <row r="823" spans="1:21" x14ac:dyDescent="0.25">
      <c r="A823">
        <v>891</v>
      </c>
      <c r="B823" t="s">
        <v>23</v>
      </c>
      <c r="D823">
        <v>1</v>
      </c>
      <c r="E823">
        <v>4</v>
      </c>
      <c r="F823">
        <v>0</v>
      </c>
      <c r="G823">
        <v>892</v>
      </c>
      <c r="H823">
        <v>891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 t="s">
        <v>24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</row>
    <row r="824" spans="1:21" x14ac:dyDescent="0.25">
      <c r="A824">
        <v>892</v>
      </c>
      <c r="B824" t="s">
        <v>23</v>
      </c>
      <c r="D824">
        <v>1</v>
      </c>
      <c r="E824">
        <v>4</v>
      </c>
      <c r="F824">
        <v>0</v>
      </c>
      <c r="G824">
        <v>893</v>
      </c>
      <c r="H824">
        <v>892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 t="s">
        <v>24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</row>
    <row r="825" spans="1:21" x14ac:dyDescent="0.25">
      <c r="A825">
        <v>893</v>
      </c>
      <c r="B825" t="s">
        <v>23</v>
      </c>
      <c r="D825">
        <v>1</v>
      </c>
      <c r="E825">
        <v>4</v>
      </c>
      <c r="F825">
        <v>0</v>
      </c>
      <c r="G825">
        <v>894</v>
      </c>
      <c r="H825">
        <v>893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 t="s">
        <v>24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</row>
    <row r="826" spans="1:21" x14ac:dyDescent="0.25">
      <c r="A826">
        <v>894</v>
      </c>
      <c r="B826" t="s">
        <v>23</v>
      </c>
      <c r="D826">
        <v>1</v>
      </c>
      <c r="E826">
        <v>4</v>
      </c>
      <c r="F826">
        <v>0</v>
      </c>
      <c r="G826">
        <v>895</v>
      </c>
      <c r="H826">
        <v>894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 t="s">
        <v>24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</row>
    <row r="827" spans="1:21" x14ac:dyDescent="0.25">
      <c r="A827">
        <v>895</v>
      </c>
      <c r="B827" t="s">
        <v>23</v>
      </c>
      <c r="D827">
        <v>1</v>
      </c>
      <c r="E827">
        <v>4</v>
      </c>
      <c r="F827">
        <v>0</v>
      </c>
      <c r="G827">
        <v>896</v>
      </c>
      <c r="H827">
        <v>895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 t="s">
        <v>24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</row>
    <row r="828" spans="1:21" x14ac:dyDescent="0.25">
      <c r="A828">
        <v>896</v>
      </c>
      <c r="B828" t="s">
        <v>23</v>
      </c>
      <c r="D828">
        <v>1</v>
      </c>
      <c r="E828">
        <v>4</v>
      </c>
      <c r="F828">
        <v>0</v>
      </c>
      <c r="G828">
        <v>897</v>
      </c>
      <c r="H828">
        <v>896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 t="s">
        <v>24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</row>
    <row r="829" spans="1:21" x14ac:dyDescent="0.25">
      <c r="A829">
        <v>897</v>
      </c>
      <c r="B829" t="s">
        <v>23</v>
      </c>
      <c r="D829">
        <v>1</v>
      </c>
      <c r="E829">
        <v>3</v>
      </c>
      <c r="F829">
        <v>0</v>
      </c>
      <c r="G829">
        <v>898</v>
      </c>
      <c r="H829">
        <v>897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 t="s">
        <v>24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</row>
    <row r="830" spans="1:21" x14ac:dyDescent="0.25">
      <c r="A830">
        <v>898</v>
      </c>
      <c r="B830" t="s">
        <v>23</v>
      </c>
      <c r="D830">
        <v>1</v>
      </c>
      <c r="E830">
        <v>3</v>
      </c>
      <c r="F830">
        <v>0</v>
      </c>
      <c r="G830">
        <v>899</v>
      </c>
      <c r="H830">
        <v>898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 t="s">
        <v>24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</row>
    <row r="831" spans="1:21" x14ac:dyDescent="0.25">
      <c r="A831">
        <v>899</v>
      </c>
      <c r="B831" t="s">
        <v>23</v>
      </c>
      <c r="D831">
        <v>1</v>
      </c>
      <c r="E831">
        <v>3</v>
      </c>
      <c r="F831">
        <v>0</v>
      </c>
      <c r="G831">
        <v>900</v>
      </c>
      <c r="H831">
        <v>899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 t="s">
        <v>24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</row>
    <row r="832" spans="1:21" x14ac:dyDescent="0.25">
      <c r="A832">
        <v>900</v>
      </c>
      <c r="B832" t="s">
        <v>23</v>
      </c>
      <c r="D832">
        <v>1</v>
      </c>
      <c r="E832">
        <v>3</v>
      </c>
      <c r="F832">
        <v>0</v>
      </c>
      <c r="G832">
        <v>901</v>
      </c>
      <c r="H832">
        <v>900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 t="s">
        <v>24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</row>
    <row r="833" spans="1:21" x14ac:dyDescent="0.25">
      <c r="A833">
        <v>901</v>
      </c>
      <c r="B833" t="s">
        <v>23</v>
      </c>
      <c r="D833">
        <v>1</v>
      </c>
      <c r="E833">
        <v>3</v>
      </c>
      <c r="F833">
        <v>0</v>
      </c>
      <c r="G833">
        <v>902</v>
      </c>
      <c r="H833">
        <v>901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 t="s">
        <v>24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</row>
    <row r="834" spans="1:21" x14ac:dyDescent="0.25">
      <c r="A834">
        <v>902</v>
      </c>
      <c r="B834" t="s">
        <v>23</v>
      </c>
      <c r="D834">
        <v>1</v>
      </c>
      <c r="E834">
        <v>3</v>
      </c>
      <c r="F834">
        <v>0</v>
      </c>
      <c r="G834">
        <v>903</v>
      </c>
      <c r="H834">
        <v>902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 t="s">
        <v>24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</row>
    <row r="835" spans="1:21" x14ac:dyDescent="0.25">
      <c r="A835">
        <v>903</v>
      </c>
      <c r="B835" t="s">
        <v>23</v>
      </c>
      <c r="D835">
        <v>1</v>
      </c>
      <c r="E835">
        <v>3</v>
      </c>
      <c r="F835">
        <v>0</v>
      </c>
      <c r="G835">
        <v>904</v>
      </c>
      <c r="H835">
        <v>903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 t="s">
        <v>24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</row>
    <row r="836" spans="1:21" x14ac:dyDescent="0.25">
      <c r="A836">
        <v>904</v>
      </c>
      <c r="B836" t="s">
        <v>23</v>
      </c>
      <c r="D836">
        <v>1</v>
      </c>
      <c r="E836">
        <v>3</v>
      </c>
      <c r="F836">
        <v>0</v>
      </c>
      <c r="G836">
        <v>905</v>
      </c>
      <c r="H836">
        <v>904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 t="s">
        <v>24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</row>
    <row r="837" spans="1:21" x14ac:dyDescent="0.25">
      <c r="A837">
        <v>905</v>
      </c>
      <c r="B837" t="s">
        <v>23</v>
      </c>
      <c r="D837">
        <v>1</v>
      </c>
      <c r="E837">
        <v>3</v>
      </c>
      <c r="F837">
        <v>0</v>
      </c>
      <c r="G837">
        <v>906</v>
      </c>
      <c r="H837">
        <v>905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 t="s">
        <v>24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</row>
    <row r="838" spans="1:21" x14ac:dyDescent="0.25">
      <c r="A838">
        <v>906</v>
      </c>
      <c r="B838" t="s">
        <v>23</v>
      </c>
      <c r="D838">
        <v>1</v>
      </c>
      <c r="E838">
        <v>3</v>
      </c>
      <c r="F838">
        <v>0</v>
      </c>
      <c r="G838">
        <v>907</v>
      </c>
      <c r="H838">
        <v>906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 t="s">
        <v>24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</row>
    <row r="839" spans="1:21" x14ac:dyDescent="0.25">
      <c r="A839">
        <v>907</v>
      </c>
      <c r="B839" t="s">
        <v>23</v>
      </c>
      <c r="D839">
        <v>1</v>
      </c>
      <c r="E839">
        <v>2</v>
      </c>
      <c r="F839">
        <v>0</v>
      </c>
      <c r="G839">
        <v>908</v>
      </c>
      <c r="H839">
        <v>907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 t="s">
        <v>24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</row>
    <row r="840" spans="1:21" x14ac:dyDescent="0.25">
      <c r="A840">
        <v>908</v>
      </c>
      <c r="B840" t="s">
        <v>23</v>
      </c>
      <c r="D840">
        <v>1</v>
      </c>
      <c r="E840">
        <v>2</v>
      </c>
      <c r="F840">
        <v>0</v>
      </c>
      <c r="G840">
        <v>909</v>
      </c>
      <c r="H840">
        <v>908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 t="s">
        <v>24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</row>
    <row r="841" spans="1:21" x14ac:dyDescent="0.25">
      <c r="A841">
        <v>909</v>
      </c>
      <c r="B841" t="s">
        <v>23</v>
      </c>
      <c r="D841">
        <v>1</v>
      </c>
      <c r="E841">
        <v>2</v>
      </c>
      <c r="F841">
        <v>0</v>
      </c>
      <c r="G841">
        <v>910</v>
      </c>
      <c r="H841">
        <v>909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 t="s">
        <v>24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</row>
    <row r="842" spans="1:21" x14ac:dyDescent="0.25">
      <c r="A842">
        <v>910</v>
      </c>
      <c r="B842" t="s">
        <v>23</v>
      </c>
      <c r="D842">
        <v>1</v>
      </c>
      <c r="E842">
        <v>2</v>
      </c>
      <c r="F842">
        <v>0</v>
      </c>
      <c r="G842">
        <v>911</v>
      </c>
      <c r="H842">
        <v>910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 t="s">
        <v>24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</row>
    <row r="843" spans="1:21" x14ac:dyDescent="0.25">
      <c r="A843">
        <v>911</v>
      </c>
      <c r="B843" t="s">
        <v>23</v>
      </c>
      <c r="D843">
        <v>1</v>
      </c>
      <c r="E843">
        <v>2</v>
      </c>
      <c r="F843">
        <v>0</v>
      </c>
      <c r="G843">
        <v>912</v>
      </c>
      <c r="H843">
        <v>911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 t="s">
        <v>24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</row>
    <row r="844" spans="1:21" x14ac:dyDescent="0.25">
      <c r="A844">
        <v>912</v>
      </c>
      <c r="B844" t="s">
        <v>23</v>
      </c>
      <c r="D844">
        <v>1</v>
      </c>
      <c r="E844">
        <v>2</v>
      </c>
      <c r="F844">
        <v>0</v>
      </c>
      <c r="G844">
        <v>913</v>
      </c>
      <c r="H844">
        <v>912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 t="s">
        <v>24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</row>
    <row r="845" spans="1:21" x14ac:dyDescent="0.25">
      <c r="A845">
        <v>913</v>
      </c>
      <c r="B845" t="s">
        <v>23</v>
      </c>
      <c r="D845">
        <v>1</v>
      </c>
      <c r="E845">
        <v>2</v>
      </c>
      <c r="F845">
        <v>0</v>
      </c>
      <c r="G845">
        <v>914</v>
      </c>
      <c r="H845">
        <v>913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 t="s">
        <v>24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</row>
    <row r="846" spans="1:21" x14ac:dyDescent="0.25">
      <c r="A846">
        <v>914</v>
      </c>
      <c r="B846" t="s">
        <v>23</v>
      </c>
      <c r="D846">
        <v>1</v>
      </c>
      <c r="E846">
        <v>2</v>
      </c>
      <c r="F846">
        <v>0</v>
      </c>
      <c r="G846">
        <v>915</v>
      </c>
      <c r="H846">
        <v>914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 t="s">
        <v>24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</row>
    <row r="847" spans="1:21" x14ac:dyDescent="0.25">
      <c r="A847">
        <v>915</v>
      </c>
      <c r="B847" t="s">
        <v>23</v>
      </c>
      <c r="D847">
        <v>1</v>
      </c>
      <c r="E847">
        <v>2</v>
      </c>
      <c r="F847">
        <v>0</v>
      </c>
      <c r="G847">
        <v>916</v>
      </c>
      <c r="H847">
        <v>915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 t="s">
        <v>24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</row>
    <row r="848" spans="1:21" x14ac:dyDescent="0.25">
      <c r="A848">
        <v>916</v>
      </c>
      <c r="B848" t="s">
        <v>23</v>
      </c>
      <c r="D848">
        <v>1</v>
      </c>
      <c r="E848">
        <v>2</v>
      </c>
      <c r="F848">
        <v>0</v>
      </c>
      <c r="G848">
        <v>917</v>
      </c>
      <c r="H848">
        <v>916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 t="s">
        <v>24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</row>
    <row r="849" spans="1:21" x14ac:dyDescent="0.25">
      <c r="A849">
        <v>917</v>
      </c>
      <c r="B849" t="s">
        <v>23</v>
      </c>
      <c r="D849">
        <v>1</v>
      </c>
      <c r="E849">
        <v>2</v>
      </c>
      <c r="F849">
        <v>0</v>
      </c>
      <c r="G849">
        <v>918</v>
      </c>
      <c r="H849">
        <v>917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 t="s">
        <v>24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</row>
    <row r="850" spans="1:21" x14ac:dyDescent="0.25">
      <c r="A850">
        <v>918</v>
      </c>
      <c r="B850" t="s">
        <v>23</v>
      </c>
      <c r="D850">
        <v>1</v>
      </c>
      <c r="E850">
        <v>1</v>
      </c>
      <c r="F850">
        <v>0</v>
      </c>
      <c r="G850">
        <v>919</v>
      </c>
      <c r="H850">
        <v>918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 t="s">
        <v>24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</row>
    <row r="851" spans="1:21" x14ac:dyDescent="0.25">
      <c r="A851">
        <v>919</v>
      </c>
      <c r="B851" t="s">
        <v>23</v>
      </c>
      <c r="D851">
        <v>1</v>
      </c>
      <c r="E851">
        <v>1</v>
      </c>
      <c r="F851">
        <v>0</v>
      </c>
      <c r="G851">
        <v>920</v>
      </c>
      <c r="H851">
        <v>919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 t="s">
        <v>24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</row>
    <row r="852" spans="1:21" x14ac:dyDescent="0.25">
      <c r="A852">
        <v>920</v>
      </c>
      <c r="B852" t="s">
        <v>23</v>
      </c>
      <c r="D852">
        <v>1</v>
      </c>
      <c r="E852">
        <v>1</v>
      </c>
      <c r="F852">
        <v>0</v>
      </c>
      <c r="G852">
        <v>921</v>
      </c>
      <c r="H852">
        <v>920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 t="s">
        <v>24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</row>
    <row r="853" spans="1:21" x14ac:dyDescent="0.25">
      <c r="A853">
        <v>921</v>
      </c>
      <c r="B853" t="s">
        <v>23</v>
      </c>
      <c r="D853">
        <v>1</v>
      </c>
      <c r="E853">
        <v>1</v>
      </c>
      <c r="F853">
        <v>0</v>
      </c>
      <c r="G853">
        <v>922</v>
      </c>
      <c r="H853">
        <v>921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 t="s">
        <v>24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</row>
    <row r="854" spans="1:21" x14ac:dyDescent="0.25">
      <c r="A854">
        <v>922</v>
      </c>
      <c r="B854" t="s">
        <v>23</v>
      </c>
      <c r="D854">
        <v>1</v>
      </c>
      <c r="E854">
        <v>1</v>
      </c>
      <c r="F854">
        <v>0</v>
      </c>
      <c r="G854">
        <v>923</v>
      </c>
      <c r="H854">
        <v>922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 t="s">
        <v>24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</row>
    <row r="855" spans="1:21" x14ac:dyDescent="0.25">
      <c r="A855">
        <v>923</v>
      </c>
      <c r="B855" t="s">
        <v>23</v>
      </c>
      <c r="D855">
        <v>1</v>
      </c>
      <c r="E855">
        <v>1</v>
      </c>
      <c r="F855">
        <v>0</v>
      </c>
      <c r="G855">
        <v>924</v>
      </c>
      <c r="H855">
        <v>923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 t="s">
        <v>24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</row>
    <row r="856" spans="1:21" x14ac:dyDescent="0.25">
      <c r="A856">
        <v>924</v>
      </c>
      <c r="B856" t="s">
        <v>23</v>
      </c>
      <c r="D856">
        <v>1</v>
      </c>
      <c r="E856">
        <v>1</v>
      </c>
      <c r="F856">
        <v>0</v>
      </c>
      <c r="G856">
        <v>925</v>
      </c>
      <c r="H856">
        <v>924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 t="s">
        <v>24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</row>
    <row r="857" spans="1:21" x14ac:dyDescent="0.25">
      <c r="A857">
        <v>925</v>
      </c>
      <c r="B857" t="s">
        <v>23</v>
      </c>
      <c r="D857">
        <v>1</v>
      </c>
      <c r="E857">
        <v>1</v>
      </c>
      <c r="F857">
        <v>0</v>
      </c>
      <c r="G857">
        <v>926</v>
      </c>
      <c r="H857">
        <v>925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 t="s">
        <v>24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</row>
    <row r="858" spans="1:21" x14ac:dyDescent="0.25">
      <c r="A858">
        <v>926</v>
      </c>
      <c r="B858" t="s">
        <v>23</v>
      </c>
      <c r="D858">
        <v>1</v>
      </c>
      <c r="E858">
        <v>1</v>
      </c>
      <c r="F858">
        <v>0</v>
      </c>
      <c r="G858">
        <v>927</v>
      </c>
      <c r="H858">
        <v>926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 t="s">
        <v>24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</row>
    <row r="859" spans="1:21" x14ac:dyDescent="0.25">
      <c r="A859">
        <v>927</v>
      </c>
      <c r="B859" t="s">
        <v>23</v>
      </c>
      <c r="D859">
        <v>1</v>
      </c>
      <c r="E859">
        <v>1</v>
      </c>
      <c r="F859">
        <v>0</v>
      </c>
      <c r="G859">
        <v>928</v>
      </c>
      <c r="H859">
        <v>927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 t="s">
        <v>24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</row>
    <row r="860" spans="1:21" x14ac:dyDescent="0.25">
      <c r="A860">
        <v>928</v>
      </c>
      <c r="B860" t="s">
        <v>23</v>
      </c>
      <c r="D860">
        <v>1</v>
      </c>
      <c r="E860">
        <v>1</v>
      </c>
      <c r="F860">
        <v>0</v>
      </c>
      <c r="G860">
        <v>929</v>
      </c>
      <c r="H860">
        <v>928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 t="s">
        <v>24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</row>
    <row r="861" spans="1:21" x14ac:dyDescent="0.25">
      <c r="A861">
        <v>929</v>
      </c>
      <c r="B861" t="s">
        <v>23</v>
      </c>
      <c r="D861">
        <v>1</v>
      </c>
      <c r="E861">
        <v>1</v>
      </c>
      <c r="F861">
        <v>0</v>
      </c>
      <c r="G861">
        <v>930</v>
      </c>
      <c r="H861">
        <v>929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 t="s">
        <v>24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0E808-0667-48E6-8501-B38B87C78435}">
  <sheetPr codeName="Foglio2">
    <tabColor rgb="FFFF0000"/>
  </sheetPr>
  <dimension ref="A1:E432"/>
  <sheetViews>
    <sheetView zoomScaleNormal="100" workbookViewId="0">
      <selection activeCell="F30" sqref="F30"/>
    </sheetView>
  </sheetViews>
  <sheetFormatPr defaultRowHeight="15" x14ac:dyDescent="0.25"/>
  <cols>
    <col min="1" max="4" width="9.140625" style="1"/>
    <col min="6" max="16384" width="9.140625" style="1"/>
  </cols>
  <sheetData>
    <row r="1" spans="1:4" x14ac:dyDescent="0.25">
      <c r="A1" s="44" t="s">
        <v>1</v>
      </c>
      <c r="B1" s="44" t="s">
        <v>57</v>
      </c>
      <c r="C1" s="44" t="s">
        <v>58</v>
      </c>
      <c r="D1" s="44" t="s">
        <v>59</v>
      </c>
    </row>
    <row r="2" spans="1:4" x14ac:dyDescent="0.25">
      <c r="A2" s="1">
        <v>500</v>
      </c>
      <c r="B2" s="1">
        <v>0.94212099999999999</v>
      </c>
      <c r="C2" s="1">
        <v>163.90455499999999</v>
      </c>
      <c r="D2" s="1">
        <v>0</v>
      </c>
    </row>
    <row r="3" spans="1:4" x14ac:dyDescent="0.25">
      <c r="A3" s="1">
        <v>501</v>
      </c>
      <c r="B3" s="1">
        <v>-6.0101000000000002E-2</v>
      </c>
      <c r="C3" s="1">
        <v>163.922653</v>
      </c>
      <c r="D3" s="1">
        <v>0</v>
      </c>
    </row>
    <row r="4" spans="1:4" x14ac:dyDescent="0.25">
      <c r="A4" s="1">
        <v>502</v>
      </c>
      <c r="B4" s="1">
        <v>-1.059941</v>
      </c>
      <c r="C4" s="1">
        <v>163.940708</v>
      </c>
      <c r="D4" s="1">
        <v>0</v>
      </c>
    </row>
    <row r="5" spans="1:4" x14ac:dyDescent="0.25">
      <c r="A5" s="1">
        <v>503</v>
      </c>
      <c r="B5" s="1">
        <v>-2.0648930000000001</v>
      </c>
      <c r="C5" s="1">
        <v>163.958855</v>
      </c>
      <c r="D5" s="1">
        <v>0</v>
      </c>
    </row>
    <row r="6" spans="1:4" x14ac:dyDescent="0.25">
      <c r="A6" s="1">
        <v>504</v>
      </c>
      <c r="B6" s="1">
        <v>-3.0647310000000001</v>
      </c>
      <c r="C6" s="1">
        <v>163.97691</v>
      </c>
      <c r="D6" s="1">
        <v>0</v>
      </c>
    </row>
    <row r="7" spans="1:4" x14ac:dyDescent="0.25">
      <c r="A7" s="1">
        <v>505</v>
      </c>
      <c r="B7" s="1">
        <v>-4.0683379999999998</v>
      </c>
      <c r="C7" s="1">
        <v>163.995034</v>
      </c>
      <c r="D7" s="1">
        <v>0</v>
      </c>
    </row>
    <row r="8" spans="1:4" x14ac:dyDescent="0.25">
      <c r="A8" s="1">
        <v>506</v>
      </c>
      <c r="B8" s="1">
        <v>-5.0710179999999996</v>
      </c>
      <c r="C8" s="1">
        <v>164.01313999999999</v>
      </c>
      <c r="D8" s="1">
        <v>0</v>
      </c>
    </row>
    <row r="9" spans="1:4" x14ac:dyDescent="0.25">
      <c r="A9" s="1">
        <v>507</v>
      </c>
      <c r="B9" s="1">
        <v>-6.0753360000000001</v>
      </c>
      <c r="C9" s="1">
        <v>164.03127599999999</v>
      </c>
      <c r="D9" s="1">
        <v>0</v>
      </c>
    </row>
    <row r="10" spans="1:4" x14ac:dyDescent="0.25">
      <c r="A10" s="1">
        <v>508</v>
      </c>
      <c r="B10" s="1">
        <v>-7.0751730000000004</v>
      </c>
      <c r="C10" s="1">
        <v>164.049331</v>
      </c>
      <c r="D10" s="1">
        <v>0</v>
      </c>
    </row>
    <row r="11" spans="1:4" x14ac:dyDescent="0.25">
      <c r="A11" s="1">
        <v>509</v>
      </c>
      <c r="B11" s="1">
        <v>-8.0815979999999996</v>
      </c>
      <c r="C11" s="1">
        <v>164.06750500000001</v>
      </c>
      <c r="D11" s="1">
        <v>0</v>
      </c>
    </row>
    <row r="12" spans="1:4" x14ac:dyDescent="0.25">
      <c r="A12" s="1">
        <v>510</v>
      </c>
      <c r="B12" s="1">
        <v>-9.0814380000000003</v>
      </c>
      <c r="C12" s="1">
        <v>164.08555999999999</v>
      </c>
      <c r="D12" s="1">
        <v>0</v>
      </c>
    </row>
    <row r="13" spans="1:4" x14ac:dyDescent="0.25">
      <c r="A13" s="1">
        <v>511</v>
      </c>
      <c r="B13" s="1">
        <v>-10.08883</v>
      </c>
      <c r="C13" s="1">
        <v>164.10375099999999</v>
      </c>
      <c r="D13" s="1">
        <v>0</v>
      </c>
    </row>
    <row r="14" spans="1:4" x14ac:dyDescent="0.25">
      <c r="A14" s="1">
        <v>512</v>
      </c>
      <c r="B14" s="1">
        <v>-11.005951</v>
      </c>
      <c r="C14" s="1">
        <v>164.12031300000001</v>
      </c>
      <c r="D14" s="1">
        <v>0</v>
      </c>
    </row>
    <row r="15" spans="1:4" x14ac:dyDescent="0.25">
      <c r="A15" s="1">
        <v>513</v>
      </c>
      <c r="B15" s="1">
        <v>-11.088685</v>
      </c>
      <c r="C15" s="1">
        <v>164.12112300000001</v>
      </c>
      <c r="D15" s="1">
        <v>0</v>
      </c>
    </row>
    <row r="16" spans="1:4" x14ac:dyDescent="0.25">
      <c r="A16" s="1">
        <v>514</v>
      </c>
      <c r="B16" s="1">
        <v>-12.088646000000001</v>
      </c>
      <c r="C16" s="1">
        <v>164.13091900000001</v>
      </c>
      <c r="D16" s="1">
        <v>0</v>
      </c>
    </row>
    <row r="17" spans="1:4" x14ac:dyDescent="0.25">
      <c r="A17" s="1">
        <v>515</v>
      </c>
      <c r="B17" s="1">
        <v>-13.096417000000001</v>
      </c>
      <c r="C17" s="1">
        <v>164.140792</v>
      </c>
      <c r="D17" s="1">
        <v>0</v>
      </c>
    </row>
    <row r="18" spans="1:4" x14ac:dyDescent="0.25">
      <c r="A18" s="1">
        <v>516</v>
      </c>
      <c r="B18" s="1">
        <v>-14.096375</v>
      </c>
      <c r="C18" s="1">
        <v>164.150588</v>
      </c>
      <c r="D18" s="1">
        <v>0</v>
      </c>
    </row>
    <row r="19" spans="1:4" x14ac:dyDescent="0.25">
      <c r="A19" s="1">
        <v>517</v>
      </c>
      <c r="B19" s="1">
        <v>-15.103612</v>
      </c>
      <c r="C19" s="1">
        <v>164.16045600000001</v>
      </c>
      <c r="D19" s="1">
        <v>0</v>
      </c>
    </row>
    <row r="20" spans="1:4" x14ac:dyDescent="0.25">
      <c r="A20" s="1">
        <v>518</v>
      </c>
      <c r="B20" s="1">
        <v>-16.107942000000001</v>
      </c>
      <c r="C20" s="1">
        <v>164.17029500000001</v>
      </c>
      <c r="D20" s="1">
        <v>0</v>
      </c>
    </row>
    <row r="21" spans="1:4" x14ac:dyDescent="0.25">
      <c r="A21" s="1">
        <v>519</v>
      </c>
      <c r="B21" s="1">
        <v>-17.113647</v>
      </c>
      <c r="C21" s="1">
        <v>164.18014700000001</v>
      </c>
      <c r="D21" s="1">
        <v>0</v>
      </c>
    </row>
    <row r="22" spans="1:4" x14ac:dyDescent="0.25">
      <c r="A22" s="1">
        <v>520</v>
      </c>
      <c r="B22" s="1">
        <v>-18.113603000000001</v>
      </c>
      <c r="C22" s="1">
        <v>164.189943</v>
      </c>
      <c r="D22" s="1">
        <v>0</v>
      </c>
    </row>
    <row r="23" spans="1:4" x14ac:dyDescent="0.25">
      <c r="A23" s="1">
        <v>521</v>
      </c>
      <c r="B23" s="1">
        <v>-19.123173999999999</v>
      </c>
      <c r="C23" s="1">
        <v>164.19983400000001</v>
      </c>
      <c r="D23" s="1">
        <v>0</v>
      </c>
    </row>
    <row r="24" spans="1:4" x14ac:dyDescent="0.25">
      <c r="A24" s="1">
        <v>522</v>
      </c>
      <c r="B24" s="1">
        <v>-20.123131999999998</v>
      </c>
      <c r="C24" s="1">
        <v>164.20963</v>
      </c>
      <c r="D24" s="1">
        <v>0</v>
      </c>
    </row>
    <row r="25" spans="1:4" x14ac:dyDescent="0.25">
      <c r="A25" s="1">
        <v>523</v>
      </c>
      <c r="B25" s="1">
        <v>-21.132873</v>
      </c>
      <c r="C25" s="1">
        <v>164.21952200000001</v>
      </c>
      <c r="D25" s="1">
        <v>0</v>
      </c>
    </row>
    <row r="26" spans="1:4" x14ac:dyDescent="0.25">
      <c r="A26" s="1">
        <v>524</v>
      </c>
      <c r="B26" s="1">
        <v>-22.050153000000002</v>
      </c>
      <c r="C26" s="1">
        <v>164.22850800000001</v>
      </c>
      <c r="D26" s="1">
        <v>0</v>
      </c>
    </row>
    <row r="27" spans="1:4" x14ac:dyDescent="0.25">
      <c r="A27" s="1">
        <v>525</v>
      </c>
      <c r="B27" s="1">
        <v>-22.132849</v>
      </c>
      <c r="C27" s="1">
        <v>164.228373</v>
      </c>
      <c r="D27" s="1">
        <v>0</v>
      </c>
    </row>
    <row r="28" spans="1:4" x14ac:dyDescent="0.25">
      <c r="A28" s="1">
        <v>526</v>
      </c>
      <c r="B28" s="1">
        <v>-23.143685999999999</v>
      </c>
      <c r="C28" s="1">
        <v>164.22671700000001</v>
      </c>
      <c r="D28" s="1">
        <v>0</v>
      </c>
    </row>
    <row r="29" spans="1:4" x14ac:dyDescent="0.25">
      <c r="A29" s="1">
        <v>527</v>
      </c>
      <c r="B29" s="1">
        <v>-24.143689999999999</v>
      </c>
      <c r="C29" s="1">
        <v>164.22507899999999</v>
      </c>
      <c r="D29" s="1">
        <v>0</v>
      </c>
    </row>
    <row r="30" spans="1:4" x14ac:dyDescent="0.25">
      <c r="A30" s="1">
        <v>528</v>
      </c>
      <c r="B30" s="1">
        <v>-25.155591999999999</v>
      </c>
      <c r="C30" s="1">
        <v>164.223421</v>
      </c>
      <c r="D30" s="1">
        <v>0</v>
      </c>
    </row>
    <row r="31" spans="1:4" x14ac:dyDescent="0.25">
      <c r="A31" s="1">
        <v>529</v>
      </c>
      <c r="B31" s="1">
        <v>-26.155594000000001</v>
      </c>
      <c r="C31" s="1">
        <v>164.22178299999999</v>
      </c>
      <c r="D31" s="1">
        <v>0</v>
      </c>
    </row>
    <row r="32" spans="1:4" x14ac:dyDescent="0.25">
      <c r="A32" s="1">
        <v>530</v>
      </c>
      <c r="B32" s="1">
        <v>-27.155593</v>
      </c>
      <c r="C32" s="1">
        <v>164.220145</v>
      </c>
      <c r="D32" s="1">
        <v>0</v>
      </c>
    </row>
    <row r="33" spans="1:4" x14ac:dyDescent="0.25">
      <c r="A33" s="1">
        <v>531</v>
      </c>
      <c r="B33" s="1">
        <v>-28.169494</v>
      </c>
      <c r="C33" s="1">
        <v>164.21848399999999</v>
      </c>
      <c r="D33" s="1">
        <v>0</v>
      </c>
    </row>
    <row r="34" spans="1:4" x14ac:dyDescent="0.25">
      <c r="A34" s="1">
        <v>532</v>
      </c>
      <c r="B34" s="1">
        <v>-29.169495999999999</v>
      </c>
      <c r="C34" s="1">
        <v>164.216846</v>
      </c>
      <c r="D34" s="1">
        <v>0</v>
      </c>
    </row>
    <row r="35" spans="1:4" x14ac:dyDescent="0.25">
      <c r="A35" s="1">
        <v>533</v>
      </c>
      <c r="B35" s="1">
        <v>-30.180613000000001</v>
      </c>
      <c r="C35" s="1">
        <v>164.21518900000001</v>
      </c>
      <c r="D35" s="1">
        <v>0</v>
      </c>
    </row>
    <row r="36" spans="1:4" x14ac:dyDescent="0.25">
      <c r="A36" s="1">
        <v>534</v>
      </c>
      <c r="B36" s="1">
        <v>-31.180624000000002</v>
      </c>
      <c r="C36" s="1">
        <v>164.213551</v>
      </c>
      <c r="D36" s="1">
        <v>0</v>
      </c>
    </row>
    <row r="37" spans="1:4" x14ac:dyDescent="0.25">
      <c r="A37" s="1">
        <v>535</v>
      </c>
      <c r="B37" s="1">
        <v>-32.180948000000001</v>
      </c>
      <c r="C37" s="1">
        <v>164.21191300000001</v>
      </c>
      <c r="D37" s="1">
        <v>0</v>
      </c>
    </row>
    <row r="38" spans="1:4" x14ac:dyDescent="0.25">
      <c r="A38" s="1">
        <v>536</v>
      </c>
      <c r="B38" s="1">
        <v>-32.193581000000002</v>
      </c>
      <c r="C38" s="1">
        <v>164.211703</v>
      </c>
      <c r="D38" s="1">
        <v>0</v>
      </c>
    </row>
    <row r="39" spans="1:4" x14ac:dyDescent="0.25">
      <c r="A39" s="1">
        <v>537</v>
      </c>
      <c r="B39" s="1">
        <v>-33.193468000000003</v>
      </c>
      <c r="C39" s="1">
        <v>164.195097</v>
      </c>
      <c r="D39" s="1">
        <v>0</v>
      </c>
    </row>
    <row r="40" spans="1:4" x14ac:dyDescent="0.25">
      <c r="A40" s="1">
        <v>538</v>
      </c>
      <c r="B40" s="1">
        <v>-34.207211000000001</v>
      </c>
      <c r="C40" s="1">
        <v>164.17826099999999</v>
      </c>
      <c r="D40" s="1">
        <v>0</v>
      </c>
    </row>
    <row r="41" spans="1:4" x14ac:dyDescent="0.25">
      <c r="A41" s="1">
        <v>539</v>
      </c>
      <c r="B41" s="1">
        <v>-35.207081000000002</v>
      </c>
      <c r="C41" s="1">
        <v>164.161655</v>
      </c>
      <c r="D41" s="1">
        <v>0</v>
      </c>
    </row>
    <row r="42" spans="1:4" x14ac:dyDescent="0.25">
      <c r="A42" s="1">
        <v>540</v>
      </c>
      <c r="B42" s="1">
        <v>-36.221381000000001</v>
      </c>
      <c r="C42" s="1">
        <v>164.14481000000001</v>
      </c>
      <c r="D42" s="1">
        <v>0</v>
      </c>
    </row>
    <row r="43" spans="1:4" x14ac:dyDescent="0.25">
      <c r="A43" s="1">
        <v>541</v>
      </c>
      <c r="B43" s="1">
        <v>-37.221243000000001</v>
      </c>
      <c r="C43" s="1">
        <v>164.12820400000001</v>
      </c>
      <c r="D43" s="1">
        <v>0</v>
      </c>
    </row>
    <row r="44" spans="1:4" x14ac:dyDescent="0.25">
      <c r="A44" s="1">
        <v>542</v>
      </c>
      <c r="B44" s="1">
        <v>-38.231389999999998</v>
      </c>
      <c r="C44" s="1">
        <v>164.11142799999999</v>
      </c>
      <c r="D44" s="1">
        <v>0</v>
      </c>
    </row>
    <row r="45" spans="1:4" x14ac:dyDescent="0.25">
      <c r="A45" s="1">
        <v>543</v>
      </c>
      <c r="B45" s="1">
        <v>-39.238909</v>
      </c>
      <c r="C45" s="1">
        <v>164.094695</v>
      </c>
      <c r="D45" s="1">
        <v>0</v>
      </c>
    </row>
    <row r="46" spans="1:4" x14ac:dyDescent="0.25">
      <c r="A46" s="1">
        <v>544</v>
      </c>
      <c r="B46" s="1">
        <v>-40.251522999999999</v>
      </c>
      <c r="C46" s="1">
        <v>164.077878</v>
      </c>
      <c r="D46" s="1">
        <v>0</v>
      </c>
    </row>
    <row r="47" spans="1:4" x14ac:dyDescent="0.25">
      <c r="A47" s="1">
        <v>545</v>
      </c>
      <c r="B47" s="1">
        <v>-41.251403000000003</v>
      </c>
      <c r="C47" s="1">
        <v>164.061272</v>
      </c>
      <c r="D47" s="1">
        <v>0</v>
      </c>
    </row>
    <row r="48" spans="1:4" x14ac:dyDescent="0.25">
      <c r="A48" s="1">
        <v>546</v>
      </c>
      <c r="B48" s="1">
        <v>-42.251294999999999</v>
      </c>
      <c r="C48" s="1">
        <v>164.04466600000001</v>
      </c>
      <c r="D48" s="1">
        <v>0</v>
      </c>
    </row>
    <row r="49" spans="1:4" x14ac:dyDescent="0.25">
      <c r="A49" s="1">
        <v>547</v>
      </c>
      <c r="B49" s="1">
        <v>-43.254976999999997</v>
      </c>
      <c r="C49" s="1">
        <v>164.027997</v>
      </c>
      <c r="D49" s="1">
        <v>0</v>
      </c>
    </row>
    <row r="50" spans="1:4" x14ac:dyDescent="0.25">
      <c r="A50" s="1">
        <v>548</v>
      </c>
      <c r="B50" s="1">
        <v>-43.267491999999997</v>
      </c>
      <c r="C50" s="1">
        <v>164.027534</v>
      </c>
      <c r="D50" s="1">
        <v>0</v>
      </c>
    </row>
    <row r="51" spans="1:4" x14ac:dyDescent="0.25">
      <c r="A51" s="1">
        <v>549</v>
      </c>
      <c r="B51" s="1">
        <v>-44.266865000000003</v>
      </c>
      <c r="C51" s="1">
        <v>163.99056100000001</v>
      </c>
      <c r="D51" s="1">
        <v>0</v>
      </c>
    </row>
    <row r="52" spans="1:4" x14ac:dyDescent="0.25">
      <c r="A52" s="1">
        <v>550</v>
      </c>
      <c r="B52" s="1">
        <v>-45.283088999999997</v>
      </c>
      <c r="C52" s="1">
        <v>163.95296400000001</v>
      </c>
      <c r="D52" s="1">
        <v>0</v>
      </c>
    </row>
    <row r="53" spans="1:4" x14ac:dyDescent="0.25">
      <c r="A53" s="1">
        <v>551</v>
      </c>
      <c r="B53" s="1">
        <v>-46.282431000000003</v>
      </c>
      <c r="C53" s="1">
        <v>163.91599199999999</v>
      </c>
      <c r="D53" s="1">
        <v>0</v>
      </c>
    </row>
    <row r="54" spans="1:4" x14ac:dyDescent="0.25">
      <c r="A54" s="1">
        <v>552</v>
      </c>
      <c r="B54" s="1">
        <v>-47.295647000000002</v>
      </c>
      <c r="C54" s="1">
        <v>163.87850700000001</v>
      </c>
      <c r="D54" s="1">
        <v>0</v>
      </c>
    </row>
    <row r="55" spans="1:4" x14ac:dyDescent="0.25">
      <c r="A55" s="1">
        <v>553</v>
      </c>
      <c r="B55" s="1">
        <v>-48.305025000000001</v>
      </c>
      <c r="C55" s="1">
        <v>163.84116399999999</v>
      </c>
      <c r="D55" s="1">
        <v>0</v>
      </c>
    </row>
    <row r="56" spans="1:4" x14ac:dyDescent="0.25">
      <c r="A56" s="1">
        <v>554</v>
      </c>
      <c r="B56" s="1">
        <v>-49.310060999999997</v>
      </c>
      <c r="C56" s="1">
        <v>163.80398099999999</v>
      </c>
      <c r="D56" s="1">
        <v>0</v>
      </c>
    </row>
    <row r="57" spans="1:4" x14ac:dyDescent="0.25">
      <c r="A57" s="1">
        <v>555</v>
      </c>
      <c r="B57" s="1">
        <v>-50.321514000000001</v>
      </c>
      <c r="C57" s="1">
        <v>163.766561</v>
      </c>
      <c r="D57" s="1">
        <v>0</v>
      </c>
    </row>
    <row r="58" spans="1:4" x14ac:dyDescent="0.25">
      <c r="A58" s="1">
        <v>556</v>
      </c>
      <c r="B58" s="1">
        <v>-51.332473</v>
      </c>
      <c r="C58" s="1">
        <v>163.72915900000001</v>
      </c>
      <c r="D58" s="1">
        <v>0</v>
      </c>
    </row>
    <row r="59" spans="1:4" x14ac:dyDescent="0.25">
      <c r="A59" s="1">
        <v>557</v>
      </c>
      <c r="B59" s="1">
        <v>-52.331802000000003</v>
      </c>
      <c r="C59" s="1">
        <v>163.69218699999999</v>
      </c>
      <c r="D59" s="1">
        <v>0</v>
      </c>
    </row>
    <row r="60" spans="1:4" x14ac:dyDescent="0.25">
      <c r="A60" s="1">
        <v>558</v>
      </c>
      <c r="B60" s="1">
        <v>-53.350375</v>
      </c>
      <c r="C60" s="1">
        <v>163.654504</v>
      </c>
      <c r="D60" s="1">
        <v>0</v>
      </c>
    </row>
    <row r="61" spans="1:4" x14ac:dyDescent="0.25">
      <c r="A61" s="1">
        <v>559</v>
      </c>
      <c r="B61" s="1">
        <v>-54.349742999999997</v>
      </c>
      <c r="C61" s="1">
        <v>163.61753100000001</v>
      </c>
      <c r="D61" s="1">
        <v>0</v>
      </c>
    </row>
    <row r="62" spans="1:4" x14ac:dyDescent="0.25">
      <c r="A62" s="1">
        <v>560</v>
      </c>
      <c r="B62" s="1">
        <v>-55.357368000000001</v>
      </c>
      <c r="C62" s="1">
        <v>163.580252</v>
      </c>
      <c r="D62" s="1">
        <v>0</v>
      </c>
    </row>
    <row r="63" spans="1:4" x14ac:dyDescent="0.25">
      <c r="A63" s="1">
        <v>561</v>
      </c>
      <c r="B63" s="1">
        <v>-55.369624000000002</v>
      </c>
      <c r="C63" s="1">
        <v>163.57948200000001</v>
      </c>
      <c r="D63" s="1">
        <v>0</v>
      </c>
    </row>
    <row r="64" spans="1:4" x14ac:dyDescent="0.25">
      <c r="A64" s="1">
        <v>562</v>
      </c>
      <c r="B64" s="1">
        <v>-56.367728999999997</v>
      </c>
      <c r="C64" s="1">
        <v>163.516785</v>
      </c>
      <c r="D64" s="1">
        <v>0</v>
      </c>
    </row>
    <row r="65" spans="1:4" x14ac:dyDescent="0.25">
      <c r="A65" s="1">
        <v>563</v>
      </c>
      <c r="B65" s="1">
        <v>-57.365833000000002</v>
      </c>
      <c r="C65" s="1">
        <v>163.45408800000001</v>
      </c>
      <c r="D65" s="1">
        <v>0</v>
      </c>
    </row>
    <row r="66" spans="1:4" x14ac:dyDescent="0.25">
      <c r="A66" s="1">
        <v>564</v>
      </c>
      <c r="B66" s="1">
        <v>-58.384315000000001</v>
      </c>
      <c r="C66" s="1">
        <v>163.39011099999999</v>
      </c>
      <c r="D66" s="1">
        <v>0</v>
      </c>
    </row>
    <row r="67" spans="1:4" x14ac:dyDescent="0.25">
      <c r="A67" s="1">
        <v>565</v>
      </c>
      <c r="B67" s="1">
        <v>-59.382376000000001</v>
      </c>
      <c r="C67" s="1">
        <v>163.327417</v>
      </c>
      <c r="D67" s="1">
        <v>0</v>
      </c>
    </row>
    <row r="68" spans="1:4" x14ac:dyDescent="0.25">
      <c r="A68" s="1">
        <v>566</v>
      </c>
      <c r="B68" s="1">
        <v>-60.401502999999998</v>
      </c>
      <c r="C68" s="1">
        <v>163.26339899999999</v>
      </c>
      <c r="D68" s="1">
        <v>0</v>
      </c>
    </row>
    <row r="69" spans="1:4" x14ac:dyDescent="0.25">
      <c r="A69" s="1">
        <v>567</v>
      </c>
      <c r="B69" s="1">
        <v>-61.399540000000002</v>
      </c>
      <c r="C69" s="1">
        <v>163.20070699999999</v>
      </c>
      <c r="D69" s="1">
        <v>0</v>
      </c>
    </row>
    <row r="70" spans="1:4" x14ac:dyDescent="0.25">
      <c r="A70" s="1">
        <v>568</v>
      </c>
      <c r="B70" s="1">
        <v>-62.422235999999998</v>
      </c>
      <c r="C70" s="1">
        <v>163.13646499999999</v>
      </c>
      <c r="D70" s="1">
        <v>0</v>
      </c>
    </row>
    <row r="71" spans="1:4" x14ac:dyDescent="0.25">
      <c r="A71" s="1">
        <v>569</v>
      </c>
      <c r="B71" s="1">
        <v>-63.420273000000002</v>
      </c>
      <c r="C71" s="1">
        <v>163.07377199999999</v>
      </c>
      <c r="D71" s="1">
        <v>0</v>
      </c>
    </row>
    <row r="72" spans="1:4" x14ac:dyDescent="0.25">
      <c r="A72" s="1">
        <v>570</v>
      </c>
      <c r="B72" s="1">
        <v>-64.437146999999996</v>
      </c>
      <c r="C72" s="1">
        <v>163.009896</v>
      </c>
      <c r="D72" s="1">
        <v>0</v>
      </c>
    </row>
    <row r="73" spans="1:4" x14ac:dyDescent="0.25">
      <c r="A73" s="1">
        <v>571</v>
      </c>
      <c r="B73" s="1">
        <v>-65.435203999999999</v>
      </c>
      <c r="C73" s="1">
        <v>162.947202</v>
      </c>
      <c r="D73" s="1">
        <v>0</v>
      </c>
    </row>
    <row r="74" spans="1:4" x14ac:dyDescent="0.25">
      <c r="A74" s="1">
        <v>572</v>
      </c>
      <c r="B74" s="1">
        <v>-66.456097</v>
      </c>
      <c r="C74" s="1">
        <v>162.883073</v>
      </c>
      <c r="D74" s="1">
        <v>0</v>
      </c>
    </row>
    <row r="75" spans="1:4" x14ac:dyDescent="0.25">
      <c r="A75" s="1">
        <v>573</v>
      </c>
      <c r="B75" s="1">
        <v>-67.442262999999997</v>
      </c>
      <c r="C75" s="1">
        <v>162.82112599999999</v>
      </c>
      <c r="D75" s="1">
        <v>0</v>
      </c>
    </row>
    <row r="76" spans="1:4" x14ac:dyDescent="0.25">
      <c r="A76" s="1">
        <v>574</v>
      </c>
      <c r="B76" s="1">
        <v>-67.454176000000004</v>
      </c>
      <c r="C76" s="1">
        <v>162.82002800000001</v>
      </c>
      <c r="D76" s="1">
        <v>0</v>
      </c>
    </row>
    <row r="77" spans="1:4" x14ac:dyDescent="0.25">
      <c r="A77" s="1">
        <v>575</v>
      </c>
      <c r="B77" s="1">
        <v>-68.473448000000005</v>
      </c>
      <c r="C77" s="1">
        <v>162.726078</v>
      </c>
      <c r="D77" s="1">
        <v>0</v>
      </c>
    </row>
    <row r="78" spans="1:4" x14ac:dyDescent="0.25">
      <c r="A78" s="1">
        <v>576</v>
      </c>
      <c r="B78" s="1">
        <v>-69.469296999999997</v>
      </c>
      <c r="C78" s="1">
        <v>162.634286</v>
      </c>
      <c r="D78" s="1">
        <v>0</v>
      </c>
    </row>
    <row r="79" spans="1:4" x14ac:dyDescent="0.25">
      <c r="A79" s="1">
        <v>577</v>
      </c>
      <c r="B79" s="1">
        <v>-70.487487000000002</v>
      </c>
      <c r="C79" s="1">
        <v>162.540436</v>
      </c>
      <c r="D79" s="1">
        <v>0</v>
      </c>
    </row>
    <row r="80" spans="1:4" x14ac:dyDescent="0.25">
      <c r="A80" s="1">
        <v>578</v>
      </c>
      <c r="B80" s="1">
        <v>-71.483289999999997</v>
      </c>
      <c r="C80" s="1">
        <v>162.44864899999999</v>
      </c>
      <c r="D80" s="1">
        <v>0</v>
      </c>
    </row>
    <row r="81" spans="1:4" x14ac:dyDescent="0.25">
      <c r="A81" s="1">
        <v>579</v>
      </c>
      <c r="B81" s="1">
        <v>-72.494398000000004</v>
      </c>
      <c r="C81" s="1">
        <v>162.35545099999999</v>
      </c>
      <c r="D81" s="1">
        <v>0</v>
      </c>
    </row>
    <row r="82" spans="1:4" x14ac:dyDescent="0.25">
      <c r="A82" s="1">
        <v>580</v>
      </c>
      <c r="B82" s="1">
        <v>-73.509787000000003</v>
      </c>
      <c r="C82" s="1">
        <v>162.26185799999999</v>
      </c>
      <c r="D82" s="1">
        <v>0</v>
      </c>
    </row>
    <row r="83" spans="1:4" x14ac:dyDescent="0.25">
      <c r="A83" s="1">
        <v>581</v>
      </c>
      <c r="B83" s="1">
        <v>-74.505606</v>
      </c>
      <c r="C83" s="1">
        <v>162.17006900000001</v>
      </c>
      <c r="D83" s="1">
        <v>0</v>
      </c>
    </row>
    <row r="84" spans="1:4" x14ac:dyDescent="0.25">
      <c r="A84" s="1">
        <v>582</v>
      </c>
      <c r="B84" s="1">
        <v>-75.501385999999997</v>
      </c>
      <c r="C84" s="1">
        <v>162.078284</v>
      </c>
      <c r="D84" s="1">
        <v>0</v>
      </c>
    </row>
    <row r="85" spans="1:4" x14ac:dyDescent="0.25">
      <c r="A85" s="1">
        <v>583</v>
      </c>
      <c r="B85" s="1">
        <v>-76.515878999999998</v>
      </c>
      <c r="C85" s="1">
        <v>161.98477500000001</v>
      </c>
      <c r="D85" s="1">
        <v>0</v>
      </c>
    </row>
    <row r="86" spans="1:4" x14ac:dyDescent="0.25">
      <c r="A86" s="1">
        <v>584</v>
      </c>
      <c r="B86" s="1">
        <v>-77.542311999999995</v>
      </c>
      <c r="C86" s="1">
        <v>161.890164</v>
      </c>
      <c r="D86" s="1">
        <v>0</v>
      </c>
    </row>
    <row r="87" spans="1:4" x14ac:dyDescent="0.25">
      <c r="A87" s="1">
        <v>585</v>
      </c>
      <c r="B87" s="1">
        <v>-78.538162999999997</v>
      </c>
      <c r="C87" s="1">
        <v>161.798372</v>
      </c>
      <c r="D87" s="1">
        <v>0</v>
      </c>
    </row>
    <row r="88" spans="1:4" x14ac:dyDescent="0.25">
      <c r="A88" s="1">
        <v>586</v>
      </c>
      <c r="B88" s="1">
        <v>-79.522560999999996</v>
      </c>
      <c r="C88" s="1">
        <v>161.70763600000001</v>
      </c>
      <c r="D88" s="1">
        <v>0</v>
      </c>
    </row>
    <row r="89" spans="1:4" x14ac:dyDescent="0.25">
      <c r="A89" s="1">
        <v>587</v>
      </c>
      <c r="B89" s="1">
        <v>-79.533980999999997</v>
      </c>
      <c r="C89" s="1">
        <v>161.70625699999999</v>
      </c>
      <c r="D89" s="1">
        <v>0</v>
      </c>
    </row>
    <row r="90" spans="1:4" x14ac:dyDescent="0.25">
      <c r="A90" s="1">
        <v>588</v>
      </c>
      <c r="B90" s="1">
        <v>-80.526891000000006</v>
      </c>
      <c r="C90" s="1">
        <v>161.58628100000001</v>
      </c>
      <c r="D90" s="1">
        <v>0</v>
      </c>
    </row>
    <row r="91" spans="1:4" x14ac:dyDescent="0.25">
      <c r="A91" s="1">
        <v>589</v>
      </c>
      <c r="B91" s="1">
        <v>-81.550089999999997</v>
      </c>
      <c r="C91" s="1">
        <v>161.46264600000001</v>
      </c>
      <c r="D91" s="1">
        <v>0</v>
      </c>
    </row>
    <row r="92" spans="1:4" x14ac:dyDescent="0.25">
      <c r="A92" s="1">
        <v>590</v>
      </c>
      <c r="B92" s="1">
        <v>-82.561192000000005</v>
      </c>
      <c r="C92" s="1">
        <v>161.34047200000001</v>
      </c>
      <c r="D92" s="1">
        <v>0</v>
      </c>
    </row>
    <row r="93" spans="1:4" x14ac:dyDescent="0.25">
      <c r="A93" s="1">
        <v>591</v>
      </c>
      <c r="B93" s="1">
        <v>-83.553984999999997</v>
      </c>
      <c r="C93" s="1">
        <v>161.22051099999999</v>
      </c>
      <c r="D93" s="1">
        <v>0</v>
      </c>
    </row>
    <row r="94" spans="1:4" x14ac:dyDescent="0.25">
      <c r="A94" s="1">
        <v>592</v>
      </c>
      <c r="B94" s="1">
        <v>-84.546778000000003</v>
      </c>
      <c r="C94" s="1">
        <v>161.10055</v>
      </c>
      <c r="D94" s="1">
        <v>0</v>
      </c>
    </row>
    <row r="95" spans="1:4" x14ac:dyDescent="0.25">
      <c r="A95" s="1">
        <v>593</v>
      </c>
      <c r="B95" s="1">
        <v>-85.565363000000005</v>
      </c>
      <c r="C95" s="1">
        <v>160.97747200000001</v>
      </c>
      <c r="D95" s="1">
        <v>0</v>
      </c>
    </row>
    <row r="96" spans="1:4" x14ac:dyDescent="0.25">
      <c r="A96" s="1">
        <v>594</v>
      </c>
      <c r="B96" s="1">
        <v>-86.558181000000005</v>
      </c>
      <c r="C96" s="1">
        <v>160.857508</v>
      </c>
      <c r="D96" s="1">
        <v>0</v>
      </c>
    </row>
    <row r="97" spans="1:4" x14ac:dyDescent="0.25">
      <c r="A97" s="1">
        <v>595</v>
      </c>
      <c r="B97" s="1">
        <v>-87.597483999999994</v>
      </c>
      <c r="C97" s="1">
        <v>160.73192700000001</v>
      </c>
      <c r="D97" s="1">
        <v>0</v>
      </c>
    </row>
    <row r="98" spans="1:4" x14ac:dyDescent="0.25">
      <c r="A98" s="1">
        <v>596</v>
      </c>
      <c r="B98" s="1">
        <v>-88.590323999999995</v>
      </c>
      <c r="C98" s="1">
        <v>160.61196000000001</v>
      </c>
      <c r="D98" s="1">
        <v>0</v>
      </c>
    </row>
    <row r="99" spans="1:4" x14ac:dyDescent="0.25">
      <c r="A99" s="1">
        <v>597</v>
      </c>
      <c r="B99" s="1">
        <v>-89.583162999999999</v>
      </c>
      <c r="C99" s="1">
        <v>160.49199300000001</v>
      </c>
      <c r="D99" s="1">
        <v>0</v>
      </c>
    </row>
    <row r="100" spans="1:4" x14ac:dyDescent="0.25">
      <c r="A100" s="1">
        <v>598</v>
      </c>
      <c r="B100" s="1">
        <v>-90.576040000000006</v>
      </c>
      <c r="C100" s="1">
        <v>160.37202199999999</v>
      </c>
      <c r="D100" s="1">
        <v>0</v>
      </c>
    </row>
    <row r="101" spans="1:4" x14ac:dyDescent="0.25">
      <c r="A101" s="1">
        <v>599</v>
      </c>
      <c r="B101" s="1">
        <v>-91.557924</v>
      </c>
      <c r="C101" s="1">
        <v>160.253379</v>
      </c>
      <c r="D101" s="1">
        <v>0</v>
      </c>
    </row>
    <row r="102" spans="1:4" x14ac:dyDescent="0.25">
      <c r="A102" s="1">
        <v>600</v>
      </c>
      <c r="B102" s="1">
        <v>-91.568837000000002</v>
      </c>
      <c r="C102" s="1">
        <v>160.25172900000001</v>
      </c>
      <c r="D102" s="1">
        <v>0</v>
      </c>
    </row>
    <row r="103" spans="1:4" x14ac:dyDescent="0.25">
      <c r="A103" s="1">
        <v>601</v>
      </c>
      <c r="B103" s="1">
        <v>-92.588252999999995</v>
      </c>
      <c r="C103" s="1">
        <v>160.09762799999999</v>
      </c>
      <c r="D103" s="1">
        <v>0</v>
      </c>
    </row>
    <row r="104" spans="1:4" x14ac:dyDescent="0.25">
      <c r="A104" s="1">
        <v>602</v>
      </c>
      <c r="B104" s="1">
        <v>-93.596667999999994</v>
      </c>
      <c r="C104" s="1">
        <v>159.94519099999999</v>
      </c>
      <c r="D104" s="1">
        <v>0</v>
      </c>
    </row>
    <row r="105" spans="1:4" x14ac:dyDescent="0.25">
      <c r="A105" s="1">
        <v>603</v>
      </c>
      <c r="B105" s="1">
        <v>-94.585474000000005</v>
      </c>
      <c r="C105" s="1">
        <v>159.795717</v>
      </c>
      <c r="D105" s="1">
        <v>0</v>
      </c>
    </row>
    <row r="106" spans="1:4" x14ac:dyDescent="0.25">
      <c r="A106" s="1">
        <v>604</v>
      </c>
      <c r="B106" s="1">
        <v>-95.574268000000004</v>
      </c>
      <c r="C106" s="1">
        <v>159.64624599999999</v>
      </c>
      <c r="D106" s="1">
        <v>0</v>
      </c>
    </row>
    <row r="107" spans="1:4" x14ac:dyDescent="0.25">
      <c r="A107" s="1">
        <v>605</v>
      </c>
      <c r="B107" s="1">
        <v>-96.589228000000006</v>
      </c>
      <c r="C107" s="1">
        <v>159.492818</v>
      </c>
      <c r="D107" s="1">
        <v>0</v>
      </c>
    </row>
    <row r="108" spans="1:4" x14ac:dyDescent="0.25">
      <c r="A108" s="1">
        <v>606</v>
      </c>
      <c r="B108" s="1">
        <v>-97.589868999999993</v>
      </c>
      <c r="C108" s="1">
        <v>159.341556</v>
      </c>
      <c r="D108" s="1">
        <v>0</v>
      </c>
    </row>
    <row r="109" spans="1:4" x14ac:dyDescent="0.25">
      <c r="A109" s="1">
        <v>607</v>
      </c>
      <c r="B109" s="1">
        <v>-98.60866</v>
      </c>
      <c r="C109" s="1">
        <v>159.18754999999999</v>
      </c>
      <c r="D109" s="1">
        <v>0</v>
      </c>
    </row>
    <row r="110" spans="1:4" x14ac:dyDescent="0.25">
      <c r="A110" s="1">
        <v>608</v>
      </c>
      <c r="B110" s="1">
        <v>-99.597459000000001</v>
      </c>
      <c r="C110" s="1">
        <v>159.03807699999999</v>
      </c>
      <c r="D110" s="1">
        <v>0</v>
      </c>
    </row>
    <row r="111" spans="1:4" x14ac:dyDescent="0.25">
      <c r="A111" s="1">
        <v>609</v>
      </c>
      <c r="B111" s="1">
        <v>-100.586257</v>
      </c>
      <c r="C111" s="1">
        <v>158.88860500000001</v>
      </c>
      <c r="D111" s="1">
        <v>0</v>
      </c>
    </row>
    <row r="112" spans="1:4" x14ac:dyDescent="0.25">
      <c r="A112" s="1">
        <v>610</v>
      </c>
      <c r="B112" s="1">
        <v>-101.575056</v>
      </c>
      <c r="C112" s="1">
        <v>158.73913300000001</v>
      </c>
      <c r="D112" s="1">
        <v>0</v>
      </c>
    </row>
    <row r="113" spans="1:4" x14ac:dyDescent="0.25">
      <c r="A113" s="1">
        <v>611</v>
      </c>
      <c r="B113" s="1">
        <v>-102.563902</v>
      </c>
      <c r="C113" s="1">
        <v>158.589653</v>
      </c>
      <c r="D113" s="1">
        <v>0</v>
      </c>
    </row>
    <row r="114" spans="1:4" x14ac:dyDescent="0.25">
      <c r="A114" s="1">
        <v>612</v>
      </c>
      <c r="B114" s="1">
        <v>-103.577275</v>
      </c>
      <c r="C114" s="1">
        <v>158.436466</v>
      </c>
      <c r="D114" s="1">
        <v>0</v>
      </c>
    </row>
    <row r="115" spans="1:4" x14ac:dyDescent="0.25">
      <c r="A115" s="1">
        <v>613</v>
      </c>
      <c r="B115" s="1">
        <v>-103.587722</v>
      </c>
      <c r="C115" s="1">
        <v>158.43455399999999</v>
      </c>
      <c r="D115" s="1">
        <v>0</v>
      </c>
    </row>
    <row r="116" spans="1:4" x14ac:dyDescent="0.25">
      <c r="A116" s="1">
        <v>614</v>
      </c>
      <c r="B116" s="1">
        <v>-104.595879</v>
      </c>
      <c r="C116" s="1">
        <v>158.25009700000001</v>
      </c>
      <c r="D116" s="1">
        <v>0</v>
      </c>
    </row>
    <row r="117" spans="1:4" x14ac:dyDescent="0.25">
      <c r="A117" s="1">
        <v>615</v>
      </c>
      <c r="B117" s="1">
        <v>-105.579594</v>
      </c>
      <c r="C117" s="1">
        <v>158.070111</v>
      </c>
      <c r="D117" s="1">
        <v>0</v>
      </c>
    </row>
    <row r="118" spans="1:4" x14ac:dyDescent="0.25">
      <c r="A118" s="1">
        <v>616</v>
      </c>
      <c r="B118" s="1">
        <v>-106.563309</v>
      </c>
      <c r="C118" s="1">
        <v>157.89012600000001</v>
      </c>
      <c r="D118" s="1">
        <v>0</v>
      </c>
    </row>
    <row r="119" spans="1:4" x14ac:dyDescent="0.25">
      <c r="A119" s="1">
        <v>617</v>
      </c>
      <c r="B119" s="1">
        <v>-107.56827699999999</v>
      </c>
      <c r="C119" s="1">
        <v>157.70625200000001</v>
      </c>
      <c r="D119" s="1">
        <v>0</v>
      </c>
    </row>
    <row r="120" spans="1:4" x14ac:dyDescent="0.25">
      <c r="A120" s="1">
        <v>618</v>
      </c>
      <c r="B120" s="1">
        <v>-108.563687</v>
      </c>
      <c r="C120" s="1">
        <v>157.52412699999999</v>
      </c>
      <c r="D120" s="1">
        <v>0</v>
      </c>
    </row>
    <row r="121" spans="1:4" x14ac:dyDescent="0.25">
      <c r="A121" s="1">
        <v>619</v>
      </c>
      <c r="B121" s="1">
        <v>-109.547359</v>
      </c>
      <c r="C121" s="1">
        <v>157.34414899999999</v>
      </c>
      <c r="D121" s="1">
        <v>0</v>
      </c>
    </row>
    <row r="122" spans="1:4" x14ac:dyDescent="0.25">
      <c r="A122" s="1">
        <v>620</v>
      </c>
      <c r="B122" s="1">
        <v>-110.547505</v>
      </c>
      <c r="C122" s="1">
        <v>157.161157</v>
      </c>
      <c r="D122" s="1">
        <v>0</v>
      </c>
    </row>
    <row r="123" spans="1:4" x14ac:dyDescent="0.25">
      <c r="A123" s="1">
        <v>621</v>
      </c>
      <c r="B123" s="1">
        <v>-111.552678</v>
      </c>
      <c r="C123" s="1">
        <v>156.97724600000001</v>
      </c>
      <c r="D123" s="1">
        <v>0</v>
      </c>
    </row>
    <row r="124" spans="1:4" x14ac:dyDescent="0.25">
      <c r="A124" s="1">
        <v>622</v>
      </c>
      <c r="B124" s="1">
        <v>-112.536371</v>
      </c>
      <c r="C124" s="1">
        <v>156.79726400000001</v>
      </c>
      <c r="D124" s="1">
        <v>0</v>
      </c>
    </row>
    <row r="125" spans="1:4" x14ac:dyDescent="0.25">
      <c r="A125" s="1">
        <v>623</v>
      </c>
      <c r="B125" s="1">
        <v>-113.52006299999999</v>
      </c>
      <c r="C125" s="1">
        <v>156.61728299999999</v>
      </c>
      <c r="D125" s="1">
        <v>0</v>
      </c>
    </row>
    <row r="126" spans="1:4" x14ac:dyDescent="0.25">
      <c r="A126" s="1">
        <v>624</v>
      </c>
      <c r="B126" s="1">
        <v>-114.54628700000001</v>
      </c>
      <c r="C126" s="1">
        <v>156.42952</v>
      </c>
      <c r="D126" s="1">
        <v>0</v>
      </c>
    </row>
    <row r="127" spans="1:4" x14ac:dyDescent="0.25">
      <c r="A127" s="1">
        <v>625</v>
      </c>
      <c r="B127" s="1">
        <v>-115.520161</v>
      </c>
      <c r="C127" s="1">
        <v>156.25133500000001</v>
      </c>
      <c r="D127" s="1">
        <v>0</v>
      </c>
    </row>
    <row r="128" spans="1:4" x14ac:dyDescent="0.25">
      <c r="A128" s="1">
        <v>626</v>
      </c>
      <c r="B128" s="1">
        <v>-115.53003099999999</v>
      </c>
      <c r="C128" s="1">
        <v>156.249225</v>
      </c>
      <c r="D128" s="1">
        <v>0</v>
      </c>
    </row>
    <row r="129" spans="1:4" x14ac:dyDescent="0.25">
      <c r="A129" s="1">
        <v>627</v>
      </c>
      <c r="B129" s="1">
        <v>-116.508017</v>
      </c>
      <c r="C129" s="1">
        <v>156.04012800000001</v>
      </c>
      <c r="D129" s="1">
        <v>0</v>
      </c>
    </row>
    <row r="130" spans="1:4" x14ac:dyDescent="0.25">
      <c r="A130" s="1">
        <v>628</v>
      </c>
      <c r="B130" s="1">
        <v>-117.486003</v>
      </c>
      <c r="C130" s="1">
        <v>155.83103199999999</v>
      </c>
      <c r="D130" s="1">
        <v>0</v>
      </c>
    </row>
    <row r="131" spans="1:4" x14ac:dyDescent="0.25">
      <c r="A131" s="1">
        <v>629</v>
      </c>
      <c r="B131" s="1">
        <v>-118.46404</v>
      </c>
      <c r="C131" s="1">
        <v>155.621925</v>
      </c>
      <c r="D131" s="1">
        <v>0</v>
      </c>
    </row>
    <row r="132" spans="1:4" x14ac:dyDescent="0.25">
      <c r="A132" s="1">
        <v>630</v>
      </c>
      <c r="B132" s="1">
        <v>-119.49606799999999</v>
      </c>
      <c r="C132" s="1">
        <v>155.401274</v>
      </c>
      <c r="D132" s="1">
        <v>0</v>
      </c>
    </row>
    <row r="133" spans="1:4" x14ac:dyDescent="0.25">
      <c r="A133" s="1">
        <v>631</v>
      </c>
      <c r="B133" s="1">
        <v>-120.473968</v>
      </c>
      <c r="C133" s="1">
        <v>155.19219699999999</v>
      </c>
      <c r="D133" s="1">
        <v>0</v>
      </c>
    </row>
    <row r="134" spans="1:4" x14ac:dyDescent="0.25">
      <c r="A134" s="1">
        <v>632</v>
      </c>
      <c r="B134" s="1">
        <v>-121.45186699999999</v>
      </c>
      <c r="C134" s="1">
        <v>154.98311899999999</v>
      </c>
      <c r="D134" s="1">
        <v>0</v>
      </c>
    </row>
    <row r="135" spans="1:4" x14ac:dyDescent="0.25">
      <c r="A135" s="1">
        <v>633</v>
      </c>
      <c r="B135" s="1">
        <v>-122.429829</v>
      </c>
      <c r="C135" s="1">
        <v>154.77402799999999</v>
      </c>
      <c r="D135" s="1">
        <v>0</v>
      </c>
    </row>
    <row r="136" spans="1:4" x14ac:dyDescent="0.25">
      <c r="A136" s="1">
        <v>634</v>
      </c>
      <c r="B136" s="1">
        <v>-123.43086</v>
      </c>
      <c r="C136" s="1">
        <v>154.56000399999999</v>
      </c>
      <c r="D136" s="1">
        <v>0</v>
      </c>
    </row>
    <row r="137" spans="1:4" x14ac:dyDescent="0.25">
      <c r="A137" s="1">
        <v>635</v>
      </c>
      <c r="B137" s="1">
        <v>-124.41665399999999</v>
      </c>
      <c r="C137" s="1">
        <v>154.34923900000001</v>
      </c>
      <c r="D137" s="1">
        <v>0</v>
      </c>
    </row>
    <row r="138" spans="1:4" x14ac:dyDescent="0.25">
      <c r="A138" s="1">
        <v>636</v>
      </c>
      <c r="B138" s="1">
        <v>-125.430528</v>
      </c>
      <c r="C138" s="1">
        <v>154.13247000000001</v>
      </c>
      <c r="D138" s="1">
        <v>0</v>
      </c>
    </row>
    <row r="139" spans="1:4" x14ac:dyDescent="0.25">
      <c r="A139" s="1">
        <v>637</v>
      </c>
      <c r="B139" s="1">
        <v>-126.408529</v>
      </c>
      <c r="C139" s="1">
        <v>153.92337000000001</v>
      </c>
      <c r="D139" s="1">
        <v>0</v>
      </c>
    </row>
    <row r="140" spans="1:4" x14ac:dyDescent="0.25">
      <c r="A140" s="1">
        <v>638</v>
      </c>
      <c r="B140" s="1">
        <v>-127.377145</v>
      </c>
      <c r="C140" s="1">
        <v>153.71627699999999</v>
      </c>
      <c r="D140" s="1">
        <v>0</v>
      </c>
    </row>
    <row r="141" spans="1:4" x14ac:dyDescent="0.25">
      <c r="A141" s="1">
        <v>639</v>
      </c>
      <c r="B141" s="1">
        <v>-127.386467</v>
      </c>
      <c r="C141" s="1">
        <v>153.71399400000001</v>
      </c>
      <c r="D141" s="1">
        <v>0</v>
      </c>
    </row>
    <row r="142" spans="1:4" x14ac:dyDescent="0.25">
      <c r="A142" s="1">
        <v>640</v>
      </c>
      <c r="B142" s="1">
        <v>-128.357866</v>
      </c>
      <c r="C142" s="1">
        <v>153.47605799999999</v>
      </c>
      <c r="D142" s="1">
        <v>0</v>
      </c>
    </row>
    <row r="143" spans="1:4" x14ac:dyDescent="0.25">
      <c r="A143" s="1">
        <v>641</v>
      </c>
      <c r="B143" s="1">
        <v>-129.32926499999999</v>
      </c>
      <c r="C143" s="1">
        <v>153.238123</v>
      </c>
      <c r="D143" s="1">
        <v>0</v>
      </c>
    </row>
    <row r="144" spans="1:4" x14ac:dyDescent="0.25">
      <c r="A144" s="1">
        <v>642</v>
      </c>
      <c r="B144" s="1">
        <v>-130.333876</v>
      </c>
      <c r="C144" s="1">
        <v>152.992052</v>
      </c>
      <c r="D144" s="1">
        <v>0</v>
      </c>
    </row>
    <row r="145" spans="1:4" x14ac:dyDescent="0.25">
      <c r="A145" s="1">
        <v>643</v>
      </c>
      <c r="B145" s="1">
        <v>-131.314572</v>
      </c>
      <c r="C145" s="1">
        <v>152.75183899999999</v>
      </c>
      <c r="D145" s="1">
        <v>0</v>
      </c>
    </row>
    <row r="146" spans="1:4" x14ac:dyDescent="0.25">
      <c r="A146" s="1">
        <v>644</v>
      </c>
      <c r="B146" s="1">
        <v>-132.31131999999999</v>
      </c>
      <c r="C146" s="1">
        <v>152.50769399999999</v>
      </c>
      <c r="D146" s="1">
        <v>0</v>
      </c>
    </row>
    <row r="147" spans="1:4" x14ac:dyDescent="0.25">
      <c r="A147" s="1">
        <v>645</v>
      </c>
      <c r="B147" s="1">
        <v>-133.28260700000001</v>
      </c>
      <c r="C147" s="1">
        <v>152.26978600000001</v>
      </c>
      <c r="D147" s="1">
        <v>0</v>
      </c>
    </row>
    <row r="148" spans="1:4" x14ac:dyDescent="0.25">
      <c r="A148" s="1">
        <v>646</v>
      </c>
      <c r="B148" s="1">
        <v>-134.253953</v>
      </c>
      <c r="C148" s="1">
        <v>152.03186299999999</v>
      </c>
      <c r="D148" s="1">
        <v>0</v>
      </c>
    </row>
    <row r="149" spans="1:4" x14ac:dyDescent="0.25">
      <c r="A149" s="1">
        <v>647</v>
      </c>
      <c r="B149" s="1">
        <v>-135.27419399999999</v>
      </c>
      <c r="C149" s="1">
        <v>151.78196399999999</v>
      </c>
      <c r="D149" s="1">
        <v>0</v>
      </c>
    </row>
    <row r="150" spans="1:4" x14ac:dyDescent="0.25">
      <c r="A150" s="1">
        <v>648</v>
      </c>
      <c r="B150" s="1">
        <v>-136.24555000000001</v>
      </c>
      <c r="C150" s="1">
        <v>151.544039</v>
      </c>
      <c r="D150" s="1">
        <v>0</v>
      </c>
    </row>
    <row r="151" spans="1:4" x14ac:dyDescent="0.25">
      <c r="A151" s="1">
        <v>649</v>
      </c>
      <c r="B151" s="1">
        <v>-137.21690599999999</v>
      </c>
      <c r="C151" s="1">
        <v>151.30611400000001</v>
      </c>
      <c r="D151" s="1">
        <v>0</v>
      </c>
    </row>
    <row r="152" spans="1:4" x14ac:dyDescent="0.25">
      <c r="A152" s="1">
        <v>650</v>
      </c>
      <c r="B152" s="1">
        <v>-138.18826999999999</v>
      </c>
      <c r="C152" s="1">
        <v>151.068186</v>
      </c>
      <c r="D152" s="1">
        <v>0</v>
      </c>
    </row>
    <row r="153" spans="1:4" x14ac:dyDescent="0.25">
      <c r="A153" s="1">
        <v>651</v>
      </c>
      <c r="B153" s="1">
        <v>-139.15078199999999</v>
      </c>
      <c r="C153" s="1">
        <v>150.83242799999999</v>
      </c>
      <c r="D153" s="1">
        <v>0</v>
      </c>
    </row>
    <row r="154" spans="1:4" x14ac:dyDescent="0.25">
      <c r="A154" s="1">
        <v>652</v>
      </c>
      <c r="B154" s="1">
        <v>-139.159559</v>
      </c>
      <c r="C154" s="1">
        <v>150.83000000000001</v>
      </c>
      <c r="D154" s="1">
        <v>0</v>
      </c>
    </row>
    <row r="155" spans="1:4" x14ac:dyDescent="0.25">
      <c r="A155" s="1">
        <v>653</v>
      </c>
      <c r="B155" s="1">
        <v>-140.12352799999999</v>
      </c>
      <c r="C155" s="1">
        <v>150.56339399999999</v>
      </c>
      <c r="D155" s="1">
        <v>0</v>
      </c>
    </row>
    <row r="156" spans="1:4" x14ac:dyDescent="0.25">
      <c r="A156" s="1">
        <v>654</v>
      </c>
      <c r="B156" s="1">
        <v>-141.12941799999999</v>
      </c>
      <c r="C156" s="1">
        <v>150.28519399999999</v>
      </c>
      <c r="D156" s="1">
        <v>0</v>
      </c>
    </row>
    <row r="157" spans="1:4" x14ac:dyDescent="0.25">
      <c r="A157" s="1">
        <v>655</v>
      </c>
      <c r="B157" s="1">
        <v>-142.093278</v>
      </c>
      <c r="C157" s="1">
        <v>150.018618</v>
      </c>
      <c r="D157" s="1">
        <v>0</v>
      </c>
    </row>
    <row r="158" spans="1:4" x14ac:dyDescent="0.25">
      <c r="A158" s="1">
        <v>656</v>
      </c>
      <c r="B158" s="1">
        <v>-143.08282500000001</v>
      </c>
      <c r="C158" s="1">
        <v>149.74493799999999</v>
      </c>
      <c r="D158" s="1">
        <v>0</v>
      </c>
    </row>
    <row r="159" spans="1:4" x14ac:dyDescent="0.25">
      <c r="A159" s="1">
        <v>657</v>
      </c>
      <c r="B159" s="1">
        <v>-144.04664399999999</v>
      </c>
      <c r="C159" s="1">
        <v>149.478374</v>
      </c>
      <c r="D159" s="1">
        <v>0</v>
      </c>
    </row>
    <row r="160" spans="1:4" x14ac:dyDescent="0.25">
      <c r="A160" s="1">
        <v>658</v>
      </c>
      <c r="B160" s="1">
        <v>-145.01046299999999</v>
      </c>
      <c r="C160" s="1">
        <v>149.21180899999999</v>
      </c>
      <c r="D160" s="1">
        <v>0</v>
      </c>
    </row>
    <row r="161" spans="1:4" x14ac:dyDescent="0.25">
      <c r="A161" s="1">
        <v>659</v>
      </c>
      <c r="B161" s="1">
        <v>-146.00384500000001</v>
      </c>
      <c r="C161" s="1">
        <v>148.93706800000001</v>
      </c>
      <c r="D161" s="1">
        <v>0</v>
      </c>
    </row>
    <row r="162" spans="1:4" x14ac:dyDescent="0.25">
      <c r="A162" s="1">
        <v>660</v>
      </c>
      <c r="B162" s="1">
        <v>-146.96767399999999</v>
      </c>
      <c r="C162" s="1">
        <v>148.670501</v>
      </c>
      <c r="D162" s="1">
        <v>0</v>
      </c>
    </row>
    <row r="163" spans="1:4" x14ac:dyDescent="0.25">
      <c r="A163" s="1">
        <v>661</v>
      </c>
      <c r="B163" s="1">
        <v>-147.95211599999999</v>
      </c>
      <c r="C163" s="1">
        <v>148.398233</v>
      </c>
      <c r="D163" s="1">
        <v>0</v>
      </c>
    </row>
    <row r="164" spans="1:4" x14ac:dyDescent="0.25">
      <c r="A164" s="1">
        <v>662</v>
      </c>
      <c r="B164" s="1">
        <v>-148.915978</v>
      </c>
      <c r="C164" s="1">
        <v>148.13165599999999</v>
      </c>
      <c r="D164" s="1">
        <v>0</v>
      </c>
    </row>
    <row r="165" spans="1:4" x14ac:dyDescent="0.25">
      <c r="A165" s="1">
        <v>663</v>
      </c>
      <c r="B165" s="1">
        <v>-149.899045</v>
      </c>
      <c r="C165" s="1">
        <v>147.859768</v>
      </c>
      <c r="D165" s="1">
        <v>0</v>
      </c>
    </row>
    <row r="166" spans="1:4" x14ac:dyDescent="0.25">
      <c r="A166" s="1">
        <v>664</v>
      </c>
      <c r="B166" s="1">
        <v>-150.854635</v>
      </c>
      <c r="C166" s="1">
        <v>147.59547900000001</v>
      </c>
      <c r="D166" s="1">
        <v>0</v>
      </c>
    </row>
    <row r="167" spans="1:4" x14ac:dyDescent="0.25">
      <c r="A167" s="1">
        <v>665</v>
      </c>
      <c r="B167" s="1">
        <v>-150.86288400000001</v>
      </c>
      <c r="C167" s="1">
        <v>147.59292400000001</v>
      </c>
      <c r="D167" s="1">
        <v>0</v>
      </c>
    </row>
    <row r="168" spans="1:4" x14ac:dyDescent="0.25">
      <c r="A168" s="1">
        <v>666</v>
      </c>
      <c r="B168" s="1">
        <v>-151.83523400000001</v>
      </c>
      <c r="C168" s="1">
        <v>147.29170400000001</v>
      </c>
      <c r="D168" s="1">
        <v>0</v>
      </c>
    </row>
    <row r="169" spans="1:4" x14ac:dyDescent="0.25">
      <c r="A169" s="1">
        <v>667</v>
      </c>
      <c r="B169" s="1">
        <v>-152.81948800000001</v>
      </c>
      <c r="C169" s="1">
        <v>146.986795</v>
      </c>
      <c r="D169" s="1">
        <v>0</v>
      </c>
    </row>
    <row r="170" spans="1:4" x14ac:dyDescent="0.25">
      <c r="A170" s="1">
        <v>668</v>
      </c>
      <c r="B170" s="1">
        <v>-153.774721</v>
      </c>
      <c r="C170" s="1">
        <v>146.690878</v>
      </c>
      <c r="D170" s="1">
        <v>0</v>
      </c>
    </row>
    <row r="171" spans="1:4" x14ac:dyDescent="0.25">
      <c r="A171" s="1">
        <v>669</v>
      </c>
      <c r="B171" s="1">
        <v>-154.729952</v>
      </c>
      <c r="C171" s="1">
        <v>146.39496</v>
      </c>
      <c r="D171" s="1">
        <v>0</v>
      </c>
    </row>
    <row r="172" spans="1:4" x14ac:dyDescent="0.25">
      <c r="A172" s="1">
        <v>670</v>
      </c>
      <c r="B172" s="1">
        <v>-155.685182</v>
      </c>
      <c r="C172" s="1">
        <v>146.09904299999999</v>
      </c>
      <c r="D172" s="1">
        <v>0</v>
      </c>
    </row>
    <row r="173" spans="1:4" x14ac:dyDescent="0.25">
      <c r="A173" s="1">
        <v>671</v>
      </c>
      <c r="B173" s="1">
        <v>-156.66760600000001</v>
      </c>
      <c r="C173" s="1">
        <v>145.794702</v>
      </c>
      <c r="D173" s="1">
        <v>0</v>
      </c>
    </row>
    <row r="174" spans="1:4" x14ac:dyDescent="0.25">
      <c r="A174" s="1">
        <v>672</v>
      </c>
      <c r="B174" s="1">
        <v>-157.65167400000001</v>
      </c>
      <c r="C174" s="1">
        <v>145.48985099999999</v>
      </c>
      <c r="D174" s="1">
        <v>0</v>
      </c>
    </row>
    <row r="175" spans="1:4" x14ac:dyDescent="0.25">
      <c r="A175" s="1">
        <v>673</v>
      </c>
      <c r="B175" s="1">
        <v>-158.60691600000001</v>
      </c>
      <c r="C175" s="1">
        <v>145.19393099999999</v>
      </c>
      <c r="D175" s="1">
        <v>0</v>
      </c>
    </row>
    <row r="176" spans="1:4" x14ac:dyDescent="0.25">
      <c r="A176" s="1">
        <v>674</v>
      </c>
      <c r="B176" s="1">
        <v>-159.56215700000001</v>
      </c>
      <c r="C176" s="1">
        <v>144.89801</v>
      </c>
      <c r="D176" s="1">
        <v>0</v>
      </c>
    </row>
    <row r="177" spans="1:4" x14ac:dyDescent="0.25">
      <c r="A177" s="1">
        <v>675</v>
      </c>
      <c r="B177" s="1">
        <v>-160.51739900000001</v>
      </c>
      <c r="C177" s="1">
        <v>144.60209</v>
      </c>
      <c r="D177" s="1">
        <v>0</v>
      </c>
    </row>
    <row r="178" spans="1:4" x14ac:dyDescent="0.25">
      <c r="A178" s="1">
        <v>676</v>
      </c>
      <c r="B178" s="1">
        <v>-161.472692</v>
      </c>
      <c r="C178" s="1">
        <v>144.30615299999999</v>
      </c>
      <c r="D178" s="1">
        <v>0</v>
      </c>
    </row>
    <row r="179" spans="1:4" x14ac:dyDescent="0.25">
      <c r="A179" s="1">
        <v>677</v>
      </c>
      <c r="B179" s="1">
        <v>-162.45638500000001</v>
      </c>
      <c r="C179" s="1">
        <v>144.001419</v>
      </c>
      <c r="D179" s="1">
        <v>0</v>
      </c>
    </row>
    <row r="180" spans="1:4" x14ac:dyDescent="0.25">
      <c r="A180" s="1">
        <v>678</v>
      </c>
      <c r="B180" s="1">
        <v>-162.46423300000001</v>
      </c>
      <c r="C180" s="1">
        <v>143.998727</v>
      </c>
      <c r="D180" s="1">
        <v>0</v>
      </c>
    </row>
    <row r="181" spans="1:4" x14ac:dyDescent="0.25">
      <c r="A181" s="1">
        <v>679</v>
      </c>
      <c r="B181" s="1">
        <v>-163.43404200000001</v>
      </c>
      <c r="C181" s="1">
        <v>143.66607500000001</v>
      </c>
      <c r="D181" s="1">
        <v>0</v>
      </c>
    </row>
    <row r="182" spans="1:4" x14ac:dyDescent="0.25">
      <c r="A182" s="1">
        <v>680</v>
      </c>
      <c r="B182" s="1">
        <v>-164.37997899999999</v>
      </c>
      <c r="C182" s="1">
        <v>143.341612</v>
      </c>
      <c r="D182" s="1">
        <v>0</v>
      </c>
    </row>
    <row r="183" spans="1:4" x14ac:dyDescent="0.25">
      <c r="A183" s="1">
        <v>681</v>
      </c>
      <c r="B183" s="1">
        <v>-165.32591500000001</v>
      </c>
      <c r="C183" s="1">
        <v>143.01714799999999</v>
      </c>
      <c r="D183" s="1">
        <v>0</v>
      </c>
    </row>
    <row r="184" spans="1:4" x14ac:dyDescent="0.25">
      <c r="A184" s="1">
        <v>682</v>
      </c>
      <c r="B184" s="1">
        <v>-166.271852</v>
      </c>
      <c r="C184" s="1">
        <v>142.69268500000001</v>
      </c>
      <c r="D184" s="1">
        <v>0</v>
      </c>
    </row>
    <row r="185" spans="1:4" x14ac:dyDescent="0.25">
      <c r="A185" s="1">
        <v>683</v>
      </c>
      <c r="B185" s="1">
        <v>-167.24552600000001</v>
      </c>
      <c r="C185" s="1">
        <v>142.35870800000001</v>
      </c>
      <c r="D185" s="1">
        <v>0</v>
      </c>
    </row>
    <row r="186" spans="1:4" x14ac:dyDescent="0.25">
      <c r="A186" s="1">
        <v>684</v>
      </c>
      <c r="B186" s="1">
        <v>-168.20399900000001</v>
      </c>
      <c r="C186" s="1">
        <v>142.029944</v>
      </c>
      <c r="D186" s="1">
        <v>0</v>
      </c>
    </row>
    <row r="187" spans="1:4" x14ac:dyDescent="0.25">
      <c r="A187" s="1">
        <v>685</v>
      </c>
      <c r="B187" s="1">
        <v>-169.16910100000001</v>
      </c>
      <c r="C187" s="1">
        <v>141.69890699999999</v>
      </c>
      <c r="D187" s="1">
        <v>0</v>
      </c>
    </row>
    <row r="188" spans="1:4" x14ac:dyDescent="0.25">
      <c r="A188" s="1">
        <v>686</v>
      </c>
      <c r="B188" s="1">
        <v>-170.11501799999999</v>
      </c>
      <c r="C188" s="1">
        <v>141.37445</v>
      </c>
      <c r="D188" s="1">
        <v>0</v>
      </c>
    </row>
    <row r="189" spans="1:4" x14ac:dyDescent="0.25">
      <c r="A189" s="1">
        <v>687</v>
      </c>
      <c r="B189" s="1">
        <v>-171.060936</v>
      </c>
      <c r="C189" s="1">
        <v>141.049993</v>
      </c>
      <c r="D189" s="1">
        <v>0</v>
      </c>
    </row>
    <row r="190" spans="1:4" x14ac:dyDescent="0.25">
      <c r="A190" s="1">
        <v>688</v>
      </c>
      <c r="B190" s="1">
        <v>-172.03645299999999</v>
      </c>
      <c r="C190" s="1">
        <v>140.715383</v>
      </c>
      <c r="D190" s="1">
        <v>0</v>
      </c>
    </row>
    <row r="191" spans="1:4" x14ac:dyDescent="0.25">
      <c r="A191" s="1">
        <v>689</v>
      </c>
      <c r="B191" s="1">
        <v>-172.98245</v>
      </c>
      <c r="C191" s="1">
        <v>140.39089899999999</v>
      </c>
      <c r="D191" s="1">
        <v>0</v>
      </c>
    </row>
    <row r="192" spans="1:4" x14ac:dyDescent="0.25">
      <c r="A192" s="1">
        <v>690</v>
      </c>
      <c r="B192" s="1">
        <v>-173.920951</v>
      </c>
      <c r="C192" s="1">
        <v>140.068986</v>
      </c>
      <c r="D192" s="1">
        <v>0</v>
      </c>
    </row>
    <row r="193" spans="1:4" x14ac:dyDescent="0.25">
      <c r="A193" s="1">
        <v>691</v>
      </c>
      <c r="B193" s="1">
        <v>-173.928347</v>
      </c>
      <c r="C193" s="1">
        <v>140.06619800000001</v>
      </c>
      <c r="D193" s="1">
        <v>0</v>
      </c>
    </row>
    <row r="194" spans="1:4" x14ac:dyDescent="0.25">
      <c r="A194" s="1">
        <v>692</v>
      </c>
      <c r="B194" s="1">
        <v>-174.892155</v>
      </c>
      <c r="C194" s="1">
        <v>139.70285999999999</v>
      </c>
      <c r="D194" s="1">
        <v>0</v>
      </c>
    </row>
    <row r="195" spans="1:4" x14ac:dyDescent="0.25">
      <c r="A195" s="1">
        <v>693</v>
      </c>
      <c r="B195" s="1">
        <v>-175.82792800000001</v>
      </c>
      <c r="C195" s="1">
        <v>139.35008999999999</v>
      </c>
      <c r="D195" s="1">
        <v>0</v>
      </c>
    </row>
    <row r="196" spans="1:4" x14ac:dyDescent="0.25">
      <c r="A196" s="1">
        <v>694</v>
      </c>
      <c r="B196" s="1">
        <v>-176.763732</v>
      </c>
      <c r="C196" s="1">
        <v>138.997308</v>
      </c>
      <c r="D196" s="1">
        <v>0</v>
      </c>
    </row>
    <row r="197" spans="1:4" x14ac:dyDescent="0.25">
      <c r="A197" s="1">
        <v>695</v>
      </c>
      <c r="B197" s="1">
        <v>-177.7209</v>
      </c>
      <c r="C197" s="1">
        <v>138.636473</v>
      </c>
      <c r="D197" s="1">
        <v>0</v>
      </c>
    </row>
    <row r="198" spans="1:4" x14ac:dyDescent="0.25">
      <c r="A198" s="1">
        <v>696</v>
      </c>
      <c r="B198" s="1">
        <v>-178.66776899999999</v>
      </c>
      <c r="C198" s="1">
        <v>138.27951999999999</v>
      </c>
      <c r="D198" s="1">
        <v>0</v>
      </c>
    </row>
    <row r="199" spans="1:4" x14ac:dyDescent="0.25">
      <c r="A199" s="1">
        <v>697</v>
      </c>
      <c r="B199" s="1">
        <v>-179.62695299999999</v>
      </c>
      <c r="C199" s="1">
        <v>137.917924</v>
      </c>
      <c r="D199" s="1">
        <v>0</v>
      </c>
    </row>
    <row r="200" spans="1:4" x14ac:dyDescent="0.25">
      <c r="A200" s="1">
        <v>698</v>
      </c>
      <c r="B200" s="1">
        <v>-180.562692</v>
      </c>
      <c r="C200" s="1">
        <v>137.565167</v>
      </c>
      <c r="D200" s="1">
        <v>0</v>
      </c>
    </row>
    <row r="201" spans="1:4" x14ac:dyDescent="0.25">
      <c r="A201" s="1">
        <v>699</v>
      </c>
      <c r="B201" s="1">
        <v>-181.498413</v>
      </c>
      <c r="C201" s="1">
        <v>137.21241699999999</v>
      </c>
      <c r="D201" s="1">
        <v>0</v>
      </c>
    </row>
    <row r="202" spans="1:4" x14ac:dyDescent="0.25">
      <c r="A202" s="1">
        <v>700</v>
      </c>
      <c r="B202" s="1">
        <v>-182.46574100000001</v>
      </c>
      <c r="C202" s="1">
        <v>136.84775099999999</v>
      </c>
      <c r="D202" s="1">
        <v>0</v>
      </c>
    </row>
    <row r="203" spans="1:4" x14ac:dyDescent="0.25">
      <c r="A203" s="1">
        <v>701</v>
      </c>
      <c r="B203" s="1">
        <v>-183.40150800000001</v>
      </c>
      <c r="C203" s="1">
        <v>136.49498399999999</v>
      </c>
      <c r="D203" s="1">
        <v>0</v>
      </c>
    </row>
    <row r="204" spans="1:4" x14ac:dyDescent="0.25">
      <c r="A204" s="1">
        <v>702</v>
      </c>
      <c r="B204" s="1">
        <v>-184.337289</v>
      </c>
      <c r="C204" s="1">
        <v>136.142211</v>
      </c>
      <c r="D204" s="1">
        <v>0</v>
      </c>
    </row>
    <row r="205" spans="1:4" x14ac:dyDescent="0.25">
      <c r="A205" s="1">
        <v>703</v>
      </c>
      <c r="B205" s="1">
        <v>-185.29452599999999</v>
      </c>
      <c r="C205" s="1">
        <v>135.78134900000001</v>
      </c>
      <c r="D205" s="1">
        <v>0</v>
      </c>
    </row>
    <row r="206" spans="1:4" x14ac:dyDescent="0.25">
      <c r="A206" s="1">
        <v>704</v>
      </c>
      <c r="B206" s="1">
        <v>-185.30149900000001</v>
      </c>
      <c r="C206" s="1">
        <v>135.778479</v>
      </c>
      <c r="D206" s="1">
        <v>0</v>
      </c>
    </row>
    <row r="207" spans="1:4" x14ac:dyDescent="0.25">
      <c r="A207" s="1">
        <v>705</v>
      </c>
      <c r="B207" s="1">
        <v>-186.22629800000001</v>
      </c>
      <c r="C207" s="1">
        <v>135.39780200000001</v>
      </c>
      <c r="D207" s="1">
        <v>0</v>
      </c>
    </row>
    <row r="208" spans="1:4" x14ac:dyDescent="0.25">
      <c r="A208" s="1">
        <v>706</v>
      </c>
      <c r="B208" s="1">
        <v>-187.15109799999999</v>
      </c>
      <c r="C208" s="1">
        <v>135.017124</v>
      </c>
      <c r="D208" s="1">
        <v>0</v>
      </c>
    </row>
    <row r="209" spans="1:4" x14ac:dyDescent="0.25">
      <c r="A209" s="1">
        <v>707</v>
      </c>
      <c r="B209" s="1">
        <v>-188.10235900000001</v>
      </c>
      <c r="C209" s="1">
        <v>134.62555399999999</v>
      </c>
      <c r="D209" s="1">
        <v>0</v>
      </c>
    </row>
    <row r="210" spans="1:4" x14ac:dyDescent="0.25">
      <c r="A210" s="1">
        <v>708</v>
      </c>
      <c r="B210" s="1">
        <v>-189.02710099999999</v>
      </c>
      <c r="C210" s="1">
        <v>134.244901</v>
      </c>
      <c r="D210" s="1">
        <v>0</v>
      </c>
    </row>
    <row r="211" spans="1:4" x14ac:dyDescent="0.25">
      <c r="A211" s="1">
        <v>709</v>
      </c>
      <c r="B211" s="1">
        <v>-189.976789</v>
      </c>
      <c r="C211" s="1">
        <v>133.85397800000001</v>
      </c>
      <c r="D211" s="1">
        <v>0</v>
      </c>
    </row>
    <row r="212" spans="1:4" x14ac:dyDescent="0.25">
      <c r="A212" s="1">
        <v>710</v>
      </c>
      <c r="B212" s="1">
        <v>-190.90151</v>
      </c>
      <c r="C212" s="1">
        <v>133.473333</v>
      </c>
      <c r="D212" s="1">
        <v>0</v>
      </c>
    </row>
    <row r="213" spans="1:4" x14ac:dyDescent="0.25">
      <c r="A213" s="1">
        <v>711</v>
      </c>
      <c r="B213" s="1">
        <v>-191.82625400000001</v>
      </c>
      <c r="C213" s="1">
        <v>133.092679</v>
      </c>
      <c r="D213" s="1">
        <v>0</v>
      </c>
    </row>
    <row r="214" spans="1:4" x14ac:dyDescent="0.25">
      <c r="A214" s="1">
        <v>712</v>
      </c>
      <c r="B214" s="1">
        <v>-192.78504000000001</v>
      </c>
      <c r="C214" s="1">
        <v>132.69801100000001</v>
      </c>
      <c r="D214" s="1">
        <v>0</v>
      </c>
    </row>
    <row r="215" spans="1:4" x14ac:dyDescent="0.25">
      <c r="A215" s="1">
        <v>713</v>
      </c>
      <c r="B215" s="1">
        <v>-193.709789</v>
      </c>
      <c r="C215" s="1">
        <v>132.31735399999999</v>
      </c>
      <c r="D215" s="1">
        <v>0</v>
      </c>
    </row>
    <row r="216" spans="1:4" x14ac:dyDescent="0.25">
      <c r="A216" s="1">
        <v>714</v>
      </c>
      <c r="B216" s="1">
        <v>-194.63453799999999</v>
      </c>
      <c r="C216" s="1">
        <v>131.93669800000001</v>
      </c>
      <c r="D216" s="1">
        <v>0</v>
      </c>
    </row>
    <row r="217" spans="1:4" x14ac:dyDescent="0.25">
      <c r="A217" s="1">
        <v>715</v>
      </c>
      <c r="B217" s="1">
        <v>-195.588459</v>
      </c>
      <c r="C217" s="1">
        <v>131.54403300000001</v>
      </c>
      <c r="D217" s="1">
        <v>0</v>
      </c>
    </row>
    <row r="218" spans="1:4" x14ac:dyDescent="0.25">
      <c r="A218" s="1">
        <v>716</v>
      </c>
      <c r="B218" s="1">
        <v>-196.506666</v>
      </c>
      <c r="C218" s="1">
        <v>131.16606899999999</v>
      </c>
      <c r="D218" s="1">
        <v>0</v>
      </c>
    </row>
    <row r="219" spans="1:4" x14ac:dyDescent="0.25">
      <c r="A219" s="1">
        <v>717</v>
      </c>
      <c r="B219" s="1">
        <v>-196.51319699999999</v>
      </c>
      <c r="C219" s="1">
        <v>131.163151</v>
      </c>
      <c r="D219" s="1">
        <v>0</v>
      </c>
    </row>
    <row r="220" spans="1:4" x14ac:dyDescent="0.25">
      <c r="A220" s="1">
        <v>718</v>
      </c>
      <c r="B220" s="1">
        <v>-197.42627200000001</v>
      </c>
      <c r="C220" s="1">
        <v>130.75508199999999</v>
      </c>
      <c r="D220" s="1">
        <v>0</v>
      </c>
    </row>
    <row r="221" spans="1:4" x14ac:dyDescent="0.25">
      <c r="A221" s="1">
        <v>719</v>
      </c>
      <c r="B221" s="1">
        <v>-198.35902300000001</v>
      </c>
      <c r="C221" s="1">
        <v>130.33821900000001</v>
      </c>
      <c r="D221" s="1">
        <v>0</v>
      </c>
    </row>
    <row r="222" spans="1:4" x14ac:dyDescent="0.25">
      <c r="A222" s="1">
        <v>720</v>
      </c>
      <c r="B222" s="1">
        <v>-199.298633</v>
      </c>
      <c r="C222" s="1">
        <v>129.91829100000001</v>
      </c>
      <c r="D222" s="1">
        <v>0</v>
      </c>
    </row>
    <row r="223" spans="1:4" x14ac:dyDescent="0.25">
      <c r="A223" s="1">
        <v>721</v>
      </c>
      <c r="B223" s="1">
        <v>-200.211611</v>
      </c>
      <c r="C223" s="1">
        <v>129.510266</v>
      </c>
      <c r="D223" s="1">
        <v>0</v>
      </c>
    </row>
    <row r="224" spans="1:4" x14ac:dyDescent="0.25">
      <c r="A224" s="1">
        <v>722</v>
      </c>
      <c r="B224" s="1">
        <v>-201.12458899999999</v>
      </c>
      <c r="C224" s="1">
        <v>129.10223999999999</v>
      </c>
      <c r="D224" s="1">
        <v>0</v>
      </c>
    </row>
    <row r="225" spans="1:4" x14ac:dyDescent="0.25">
      <c r="A225" s="1">
        <v>723</v>
      </c>
      <c r="B225" s="1">
        <v>-202.037567</v>
      </c>
      <c r="C225" s="1">
        <v>128.69421500000001</v>
      </c>
      <c r="D225" s="1">
        <v>0</v>
      </c>
    </row>
    <row r="226" spans="1:4" x14ac:dyDescent="0.25">
      <c r="A226" s="1">
        <v>724</v>
      </c>
      <c r="B226" s="1">
        <v>-202.98988800000001</v>
      </c>
      <c r="C226" s="1">
        <v>128.268607</v>
      </c>
      <c r="D226" s="1">
        <v>0</v>
      </c>
    </row>
    <row r="227" spans="1:4" x14ac:dyDescent="0.25">
      <c r="A227" s="1">
        <v>725</v>
      </c>
      <c r="B227" s="1">
        <v>-203.90287599999999</v>
      </c>
      <c r="C227" s="1">
        <v>127.86057700000001</v>
      </c>
      <c r="D227" s="1">
        <v>0</v>
      </c>
    </row>
    <row r="228" spans="1:4" x14ac:dyDescent="0.25">
      <c r="A228" s="1">
        <v>726</v>
      </c>
      <c r="B228" s="1">
        <v>-204.815864</v>
      </c>
      <c r="C228" s="1">
        <v>127.452547</v>
      </c>
      <c r="D228" s="1">
        <v>0</v>
      </c>
    </row>
    <row r="229" spans="1:4" x14ac:dyDescent="0.25">
      <c r="A229" s="1">
        <v>727</v>
      </c>
      <c r="B229" s="1">
        <v>-205.72885199999999</v>
      </c>
      <c r="C229" s="1">
        <v>127.044517</v>
      </c>
      <c r="D229" s="1">
        <v>0</v>
      </c>
    </row>
    <row r="230" spans="1:4" x14ac:dyDescent="0.25">
      <c r="A230" s="1">
        <v>728</v>
      </c>
      <c r="B230" s="1">
        <v>-206.666968</v>
      </c>
      <c r="C230" s="1">
        <v>126.625257</v>
      </c>
      <c r="D230" s="1">
        <v>0</v>
      </c>
    </row>
    <row r="231" spans="1:4" x14ac:dyDescent="0.25">
      <c r="A231" s="1">
        <v>729</v>
      </c>
      <c r="B231" s="1">
        <v>-207.59036699999999</v>
      </c>
      <c r="C231" s="1">
        <v>126.212574</v>
      </c>
      <c r="D231" s="1">
        <v>0</v>
      </c>
    </row>
    <row r="232" spans="1:4" x14ac:dyDescent="0.25">
      <c r="A232" s="1">
        <v>730</v>
      </c>
      <c r="B232" s="1">
        <v>-207.59646599999999</v>
      </c>
      <c r="C232" s="1">
        <v>126.20962400000001</v>
      </c>
      <c r="D232" s="1">
        <v>0</v>
      </c>
    </row>
    <row r="233" spans="1:4" x14ac:dyDescent="0.25">
      <c r="A233" s="1">
        <v>731</v>
      </c>
      <c r="B233" s="1">
        <v>-208.52415099999999</v>
      </c>
      <c r="C233" s="1">
        <v>125.760932</v>
      </c>
      <c r="D233" s="1">
        <v>0</v>
      </c>
    </row>
    <row r="234" spans="1:4" x14ac:dyDescent="0.25">
      <c r="A234" s="1">
        <v>732</v>
      </c>
      <c r="B234" s="1">
        <v>-209.424406</v>
      </c>
      <c r="C234" s="1">
        <v>125.325507</v>
      </c>
      <c r="D234" s="1">
        <v>0</v>
      </c>
    </row>
    <row r="235" spans="1:4" x14ac:dyDescent="0.25">
      <c r="A235" s="1">
        <v>733</v>
      </c>
      <c r="B235" s="1">
        <v>-210.32467700000001</v>
      </c>
      <c r="C235" s="1">
        <v>124.890075</v>
      </c>
      <c r="D235" s="1">
        <v>0</v>
      </c>
    </row>
    <row r="236" spans="1:4" x14ac:dyDescent="0.25">
      <c r="A236" s="1">
        <v>734</v>
      </c>
      <c r="B236" s="1">
        <v>-211.224932</v>
      </c>
      <c r="C236" s="1">
        <v>124.45465</v>
      </c>
      <c r="D236" s="1">
        <v>0</v>
      </c>
    </row>
    <row r="237" spans="1:4" x14ac:dyDescent="0.25">
      <c r="A237" s="1">
        <v>735</v>
      </c>
      <c r="B237" s="1">
        <v>-212.12518700000001</v>
      </c>
      <c r="C237" s="1">
        <v>124.01922500000001</v>
      </c>
      <c r="D237" s="1">
        <v>0</v>
      </c>
    </row>
    <row r="238" spans="1:4" x14ac:dyDescent="0.25">
      <c r="A238" s="1">
        <v>736</v>
      </c>
      <c r="B238" s="1">
        <v>-213.061735</v>
      </c>
      <c r="C238" s="1">
        <v>123.56624600000001</v>
      </c>
      <c r="D238" s="1">
        <v>0</v>
      </c>
    </row>
    <row r="239" spans="1:4" x14ac:dyDescent="0.25">
      <c r="A239" s="1">
        <v>737</v>
      </c>
      <c r="B239" s="1">
        <v>-213.96198200000001</v>
      </c>
      <c r="C239" s="1">
        <v>123.130825</v>
      </c>
      <c r="D239" s="1">
        <v>0</v>
      </c>
    </row>
    <row r="240" spans="1:4" x14ac:dyDescent="0.25">
      <c r="A240" s="1">
        <v>738</v>
      </c>
      <c r="B240" s="1">
        <v>-214.86221399999999</v>
      </c>
      <c r="C240" s="1">
        <v>122.695412</v>
      </c>
      <c r="D240" s="1">
        <v>0</v>
      </c>
    </row>
    <row r="241" spans="1:4" x14ac:dyDescent="0.25">
      <c r="A241" s="1">
        <v>739</v>
      </c>
      <c r="B241" s="1">
        <v>-215.78440000000001</v>
      </c>
      <c r="C241" s="1">
        <v>122.249379</v>
      </c>
      <c r="D241" s="1">
        <v>0</v>
      </c>
    </row>
    <row r="242" spans="1:4" x14ac:dyDescent="0.25">
      <c r="A242" s="1">
        <v>740</v>
      </c>
      <c r="B242" s="1">
        <v>-216.69713300000001</v>
      </c>
      <c r="C242" s="1">
        <v>121.807919</v>
      </c>
      <c r="D242" s="1">
        <v>0</v>
      </c>
    </row>
    <row r="243" spans="1:4" x14ac:dyDescent="0.25">
      <c r="A243" s="1">
        <v>741</v>
      </c>
      <c r="B243" s="1">
        <v>-217.60770199999999</v>
      </c>
      <c r="C243" s="1">
        <v>121.36750600000001</v>
      </c>
      <c r="D243" s="1">
        <v>0</v>
      </c>
    </row>
    <row r="244" spans="1:4" x14ac:dyDescent="0.25">
      <c r="A244" s="1">
        <v>742</v>
      </c>
      <c r="B244" s="1">
        <v>-218.530957</v>
      </c>
      <c r="C244" s="1">
        <v>120.920956</v>
      </c>
      <c r="D244" s="1">
        <v>0</v>
      </c>
    </row>
    <row r="245" spans="1:4" x14ac:dyDescent="0.25">
      <c r="A245" s="1">
        <v>743</v>
      </c>
      <c r="B245" s="1">
        <v>-218.53664900000001</v>
      </c>
      <c r="C245" s="1">
        <v>120.917985</v>
      </c>
      <c r="D245" s="1">
        <v>0</v>
      </c>
    </row>
    <row r="246" spans="1:4" x14ac:dyDescent="0.25">
      <c r="A246" s="1">
        <v>744</v>
      </c>
      <c r="B246" s="1">
        <v>-219.423191</v>
      </c>
      <c r="C246" s="1">
        <v>120.455215</v>
      </c>
      <c r="D246" s="1">
        <v>0</v>
      </c>
    </row>
    <row r="247" spans="1:4" x14ac:dyDescent="0.25">
      <c r="A247" s="1">
        <v>745</v>
      </c>
      <c r="B247" s="1">
        <v>-220.30973299999999</v>
      </c>
      <c r="C247" s="1">
        <v>119.99244400000001</v>
      </c>
      <c r="D247" s="1">
        <v>0</v>
      </c>
    </row>
    <row r="248" spans="1:4" x14ac:dyDescent="0.25">
      <c r="A248" s="1">
        <v>746</v>
      </c>
      <c r="B248" s="1">
        <v>-221.19627600000001</v>
      </c>
      <c r="C248" s="1">
        <v>119.529673</v>
      </c>
      <c r="D248" s="1">
        <v>0</v>
      </c>
    </row>
    <row r="249" spans="1:4" x14ac:dyDescent="0.25">
      <c r="A249" s="1">
        <v>747</v>
      </c>
      <c r="B249" s="1">
        <v>-222.082818</v>
      </c>
      <c r="C249" s="1">
        <v>119.066903</v>
      </c>
      <c r="D249" s="1">
        <v>0</v>
      </c>
    </row>
    <row r="250" spans="1:4" x14ac:dyDescent="0.25">
      <c r="A250" s="1">
        <v>748</v>
      </c>
      <c r="B250" s="1">
        <v>-222.999529</v>
      </c>
      <c r="C250" s="1">
        <v>118.588384</v>
      </c>
      <c r="D250" s="1">
        <v>0</v>
      </c>
    </row>
    <row r="251" spans="1:4" x14ac:dyDescent="0.25">
      <c r="A251" s="1">
        <v>749</v>
      </c>
      <c r="B251" s="1">
        <v>-223.88602499999999</v>
      </c>
      <c r="C251" s="1">
        <v>118.125638</v>
      </c>
      <c r="D251" s="1">
        <v>0</v>
      </c>
    </row>
    <row r="252" spans="1:4" x14ac:dyDescent="0.25">
      <c r="A252" s="1">
        <v>750</v>
      </c>
      <c r="B252" s="1">
        <v>-224.80139</v>
      </c>
      <c r="C252" s="1">
        <v>117.64782200000001</v>
      </c>
      <c r="D252" s="1">
        <v>0</v>
      </c>
    </row>
    <row r="253" spans="1:4" x14ac:dyDescent="0.25">
      <c r="A253" s="1">
        <v>751</v>
      </c>
      <c r="B253" s="1">
        <v>-225.68789000000001</v>
      </c>
      <c r="C253" s="1">
        <v>117.185073</v>
      </c>
      <c r="D253" s="1">
        <v>0</v>
      </c>
    </row>
    <row r="254" spans="1:4" x14ac:dyDescent="0.25">
      <c r="A254" s="1">
        <v>752</v>
      </c>
      <c r="B254" s="1">
        <v>-226.58841100000001</v>
      </c>
      <c r="C254" s="1">
        <v>116.715006</v>
      </c>
      <c r="D254" s="1">
        <v>0</v>
      </c>
    </row>
    <row r="255" spans="1:4" x14ac:dyDescent="0.25">
      <c r="A255" s="1">
        <v>753</v>
      </c>
      <c r="B255" s="1">
        <v>-227.50433100000001</v>
      </c>
      <c r="C255" s="1">
        <v>116.23690000000001</v>
      </c>
      <c r="D255" s="1">
        <v>0</v>
      </c>
    </row>
    <row r="256" spans="1:4" x14ac:dyDescent="0.25">
      <c r="A256" s="1">
        <v>754</v>
      </c>
      <c r="B256" s="1">
        <v>-228.39092600000001</v>
      </c>
      <c r="C256" s="1">
        <v>115.774102</v>
      </c>
      <c r="D256" s="1">
        <v>0</v>
      </c>
    </row>
    <row r="257" spans="1:4" x14ac:dyDescent="0.25">
      <c r="A257" s="1">
        <v>755</v>
      </c>
      <c r="B257" s="1">
        <v>-229.27229399999999</v>
      </c>
      <c r="C257" s="1">
        <v>115.31403299999999</v>
      </c>
      <c r="D257" s="1">
        <v>0</v>
      </c>
    </row>
    <row r="258" spans="1:4" x14ac:dyDescent="0.25">
      <c r="A258" s="1">
        <v>756</v>
      </c>
      <c r="B258" s="1">
        <v>-229.27744000000001</v>
      </c>
      <c r="C258" s="1">
        <v>115.311154</v>
      </c>
      <c r="D258" s="1">
        <v>0</v>
      </c>
    </row>
    <row r="259" spans="1:4" x14ac:dyDescent="0.25">
      <c r="A259" s="1">
        <v>757</v>
      </c>
      <c r="B259" s="1">
        <v>-230.15026599999999</v>
      </c>
      <c r="C259" s="1">
        <v>114.822931</v>
      </c>
      <c r="D259" s="1">
        <v>0</v>
      </c>
    </row>
    <row r="260" spans="1:4" x14ac:dyDescent="0.25">
      <c r="A260" s="1">
        <v>758</v>
      </c>
      <c r="B260" s="1">
        <v>-231.02309199999999</v>
      </c>
      <c r="C260" s="1">
        <v>114.334709</v>
      </c>
      <c r="D260" s="1">
        <v>0</v>
      </c>
    </row>
    <row r="261" spans="1:4" x14ac:dyDescent="0.25">
      <c r="A261" s="1">
        <v>759</v>
      </c>
      <c r="B261" s="1">
        <v>-231.92600200000001</v>
      </c>
      <c r="C261" s="1">
        <v>113.82965799999999</v>
      </c>
      <c r="D261" s="1">
        <v>0</v>
      </c>
    </row>
    <row r="262" spans="1:4" x14ac:dyDescent="0.25">
      <c r="A262" s="1">
        <v>760</v>
      </c>
      <c r="B262" s="1">
        <v>-232.82518400000001</v>
      </c>
      <c r="C262" s="1">
        <v>113.32669300000001</v>
      </c>
      <c r="D262" s="1">
        <v>0</v>
      </c>
    </row>
    <row r="263" spans="1:4" x14ac:dyDescent="0.25">
      <c r="A263" s="1">
        <v>761</v>
      </c>
      <c r="B263" s="1">
        <v>-233.69792899999999</v>
      </c>
      <c r="C263" s="1">
        <v>112.838515</v>
      </c>
      <c r="D263" s="1">
        <v>0</v>
      </c>
    </row>
    <row r="264" spans="1:4" x14ac:dyDescent="0.25">
      <c r="A264" s="1">
        <v>762</v>
      </c>
      <c r="B264" s="1">
        <v>-234.570673</v>
      </c>
      <c r="C264" s="1">
        <v>112.35033799999999</v>
      </c>
      <c r="D264" s="1">
        <v>0</v>
      </c>
    </row>
    <row r="265" spans="1:4" x14ac:dyDescent="0.25">
      <c r="A265" s="1">
        <v>763</v>
      </c>
      <c r="B265" s="1">
        <v>-235.443456</v>
      </c>
      <c r="C265" s="1">
        <v>111.862139</v>
      </c>
      <c r="D265" s="1">
        <v>0</v>
      </c>
    </row>
    <row r="266" spans="1:4" x14ac:dyDescent="0.25">
      <c r="A266" s="1">
        <v>764</v>
      </c>
      <c r="B266" s="1">
        <v>-236.31620100000001</v>
      </c>
      <c r="C266" s="1">
        <v>111.37396200000001</v>
      </c>
      <c r="D266" s="1">
        <v>0</v>
      </c>
    </row>
    <row r="267" spans="1:4" x14ac:dyDescent="0.25">
      <c r="A267" s="1">
        <v>765</v>
      </c>
      <c r="B267" s="1">
        <v>-237.23116400000001</v>
      </c>
      <c r="C267" s="1">
        <v>110.86217000000001</v>
      </c>
      <c r="D267" s="1">
        <v>0</v>
      </c>
    </row>
    <row r="268" spans="1:4" x14ac:dyDescent="0.25">
      <c r="A268" s="1">
        <v>766</v>
      </c>
      <c r="B268" s="1">
        <v>-238.10396800000001</v>
      </c>
      <c r="C268" s="1">
        <v>110.373959</v>
      </c>
      <c r="D268" s="1">
        <v>0</v>
      </c>
    </row>
    <row r="269" spans="1:4" x14ac:dyDescent="0.25">
      <c r="A269" s="1">
        <v>767</v>
      </c>
      <c r="B269" s="1">
        <v>-238.97679500000001</v>
      </c>
      <c r="C269" s="1">
        <v>109.88573599999999</v>
      </c>
      <c r="D269" s="1">
        <v>0</v>
      </c>
    </row>
    <row r="270" spans="1:4" x14ac:dyDescent="0.25">
      <c r="A270" s="1">
        <v>768</v>
      </c>
      <c r="B270" s="1">
        <v>-239.84479400000001</v>
      </c>
      <c r="C270" s="1">
        <v>109.40021299999999</v>
      </c>
      <c r="D270" s="1">
        <v>0</v>
      </c>
    </row>
    <row r="271" spans="1:4" x14ac:dyDescent="0.25">
      <c r="A271" s="1">
        <v>769</v>
      </c>
      <c r="B271" s="1">
        <v>-239.849515</v>
      </c>
      <c r="C271" s="1">
        <v>109.397379</v>
      </c>
      <c r="D271" s="1">
        <v>0</v>
      </c>
    </row>
    <row r="272" spans="1:4" x14ac:dyDescent="0.25">
      <c r="A272" s="1">
        <v>770</v>
      </c>
      <c r="B272" s="1">
        <v>-240.733034</v>
      </c>
      <c r="C272" s="1">
        <v>108.86707</v>
      </c>
      <c r="D272" s="1">
        <v>0</v>
      </c>
    </row>
    <row r="273" spans="1:4" x14ac:dyDescent="0.25">
      <c r="A273" s="1">
        <v>771</v>
      </c>
      <c r="B273" s="1">
        <v>-241.62185099999999</v>
      </c>
      <c r="C273" s="1">
        <v>108.33358</v>
      </c>
      <c r="D273" s="1">
        <v>0</v>
      </c>
    </row>
    <row r="274" spans="1:4" x14ac:dyDescent="0.25">
      <c r="A274" s="1">
        <v>772</v>
      </c>
      <c r="B274" s="1">
        <v>-242.479266</v>
      </c>
      <c r="C274" s="1">
        <v>107.818939</v>
      </c>
      <c r="D274" s="1">
        <v>0</v>
      </c>
    </row>
    <row r="275" spans="1:4" x14ac:dyDescent="0.25">
      <c r="A275" s="1">
        <v>773</v>
      </c>
      <c r="B275" s="1">
        <v>-243.336681</v>
      </c>
      <c r="C275" s="1">
        <v>107.304298</v>
      </c>
      <c r="D275" s="1">
        <v>0</v>
      </c>
    </row>
    <row r="276" spans="1:4" x14ac:dyDescent="0.25">
      <c r="A276" s="1">
        <v>774</v>
      </c>
      <c r="B276" s="1">
        <v>-244.194096</v>
      </c>
      <c r="C276" s="1">
        <v>106.78965700000001</v>
      </c>
      <c r="D276" s="1">
        <v>0</v>
      </c>
    </row>
    <row r="277" spans="1:4" x14ac:dyDescent="0.25">
      <c r="A277" s="1">
        <v>775</v>
      </c>
      <c r="B277" s="1">
        <v>-245.05151000000001</v>
      </c>
      <c r="C277" s="1">
        <v>106.27501599999999</v>
      </c>
      <c r="D277" s="1">
        <v>0</v>
      </c>
    </row>
    <row r="278" spans="1:4" x14ac:dyDescent="0.25">
      <c r="A278" s="1">
        <v>776</v>
      </c>
      <c r="B278" s="1">
        <v>-245.90898799999999</v>
      </c>
      <c r="C278" s="1">
        <v>105.76033700000001</v>
      </c>
      <c r="D278" s="1">
        <v>0</v>
      </c>
    </row>
    <row r="279" spans="1:4" x14ac:dyDescent="0.25">
      <c r="A279" s="1">
        <v>777</v>
      </c>
      <c r="B279" s="1">
        <v>-246.82256799999999</v>
      </c>
      <c r="C279" s="1">
        <v>105.211984</v>
      </c>
      <c r="D279" s="1">
        <v>0</v>
      </c>
    </row>
    <row r="280" spans="1:4" x14ac:dyDescent="0.25">
      <c r="A280" s="1">
        <v>778</v>
      </c>
      <c r="B280" s="1">
        <v>-247.680026</v>
      </c>
      <c r="C280" s="1">
        <v>104.697317</v>
      </c>
      <c r="D280" s="1">
        <v>0</v>
      </c>
    </row>
    <row r="281" spans="1:4" x14ac:dyDescent="0.25">
      <c r="A281" s="1">
        <v>779</v>
      </c>
      <c r="B281" s="1">
        <v>-248.53748300000001</v>
      </c>
      <c r="C281" s="1">
        <v>104.18265</v>
      </c>
      <c r="D281" s="1">
        <v>0</v>
      </c>
    </row>
    <row r="282" spans="1:4" x14ac:dyDescent="0.25">
      <c r="A282" s="1">
        <v>780</v>
      </c>
      <c r="B282" s="1">
        <v>-249.39496199999999</v>
      </c>
      <c r="C282" s="1">
        <v>103.66797099999999</v>
      </c>
      <c r="D282" s="1">
        <v>0</v>
      </c>
    </row>
    <row r="283" spans="1:4" x14ac:dyDescent="0.25">
      <c r="A283" s="1">
        <v>781</v>
      </c>
      <c r="B283" s="1">
        <v>-250.24801500000001</v>
      </c>
      <c r="C283" s="1">
        <v>103.155947</v>
      </c>
      <c r="D283" s="1">
        <v>0</v>
      </c>
    </row>
    <row r="284" spans="1:4" x14ac:dyDescent="0.25">
      <c r="A284" s="1">
        <v>782</v>
      </c>
      <c r="B284" s="1">
        <v>-250.25234</v>
      </c>
      <c r="C284" s="1">
        <v>103.15317400000001</v>
      </c>
      <c r="D284" s="1">
        <v>0</v>
      </c>
    </row>
    <row r="285" spans="1:4" x14ac:dyDescent="0.25">
      <c r="A285" s="1">
        <v>783</v>
      </c>
      <c r="B285" s="1">
        <v>-251.12526500000001</v>
      </c>
      <c r="C285" s="1">
        <v>102.593502</v>
      </c>
      <c r="D285" s="1">
        <v>0</v>
      </c>
    </row>
    <row r="286" spans="1:4" x14ac:dyDescent="0.25">
      <c r="A286" s="1">
        <v>784</v>
      </c>
      <c r="B286" s="1">
        <v>-251.96714499999999</v>
      </c>
      <c r="C286" s="1">
        <v>102.05373400000001</v>
      </c>
      <c r="D286" s="1">
        <v>0</v>
      </c>
    </row>
    <row r="287" spans="1:4" x14ac:dyDescent="0.25">
      <c r="A287" s="1">
        <v>785</v>
      </c>
      <c r="B287" s="1">
        <v>-252.83273600000001</v>
      </c>
      <c r="C287" s="1">
        <v>101.498763</v>
      </c>
      <c r="D287" s="1">
        <v>0</v>
      </c>
    </row>
    <row r="288" spans="1:4" x14ac:dyDescent="0.25">
      <c r="A288" s="1">
        <v>786</v>
      </c>
      <c r="B288" s="1">
        <v>-253.674577</v>
      </c>
      <c r="C288" s="1">
        <v>100.95902</v>
      </c>
      <c r="D288" s="1">
        <v>0</v>
      </c>
    </row>
    <row r="289" spans="1:4" x14ac:dyDescent="0.25">
      <c r="A289" s="1">
        <v>787</v>
      </c>
      <c r="B289" s="1">
        <v>-254.51641699999999</v>
      </c>
      <c r="C289" s="1">
        <v>100.41927699999999</v>
      </c>
      <c r="D289" s="1">
        <v>0</v>
      </c>
    </row>
    <row r="290" spans="1:4" x14ac:dyDescent="0.25">
      <c r="A290" s="1">
        <v>788</v>
      </c>
      <c r="B290" s="1">
        <v>-255.35825800000001</v>
      </c>
      <c r="C290" s="1">
        <v>99.879534000000007</v>
      </c>
      <c r="D290" s="1">
        <v>0</v>
      </c>
    </row>
    <row r="291" spans="1:4" x14ac:dyDescent="0.25">
      <c r="A291" s="1">
        <v>789</v>
      </c>
      <c r="B291" s="1">
        <v>-256.22264899999999</v>
      </c>
      <c r="C291" s="1">
        <v>99.325333000000001</v>
      </c>
      <c r="D291" s="1">
        <v>0</v>
      </c>
    </row>
    <row r="292" spans="1:4" x14ac:dyDescent="0.25">
      <c r="A292" s="1">
        <v>790</v>
      </c>
      <c r="B292" s="1">
        <v>-257.08859100000001</v>
      </c>
      <c r="C292" s="1">
        <v>98.770137000000005</v>
      </c>
      <c r="D292" s="1">
        <v>0</v>
      </c>
    </row>
    <row r="293" spans="1:4" x14ac:dyDescent="0.25">
      <c r="A293" s="1">
        <v>791</v>
      </c>
      <c r="B293" s="1">
        <v>-257.930452</v>
      </c>
      <c r="C293" s="1">
        <v>98.230380999999994</v>
      </c>
      <c r="D293" s="1">
        <v>0</v>
      </c>
    </row>
    <row r="294" spans="1:4" x14ac:dyDescent="0.25">
      <c r="A294" s="1">
        <v>792</v>
      </c>
      <c r="B294" s="1">
        <v>-258.772313</v>
      </c>
      <c r="C294" s="1">
        <v>97.690624999999997</v>
      </c>
      <c r="D294" s="1">
        <v>0</v>
      </c>
    </row>
    <row r="295" spans="1:4" x14ac:dyDescent="0.25">
      <c r="A295" s="1">
        <v>793</v>
      </c>
      <c r="B295" s="1">
        <v>-259.61419699999999</v>
      </c>
      <c r="C295" s="1">
        <v>97.150853999999995</v>
      </c>
      <c r="D295" s="1">
        <v>0</v>
      </c>
    </row>
    <row r="296" spans="1:4" x14ac:dyDescent="0.25">
      <c r="A296" s="1">
        <v>794</v>
      </c>
      <c r="B296" s="1">
        <v>-260.48305099999999</v>
      </c>
      <c r="C296" s="1">
        <v>96.593790999999996</v>
      </c>
      <c r="D296" s="1">
        <v>0</v>
      </c>
    </row>
    <row r="297" spans="1:4" x14ac:dyDescent="0.25">
      <c r="A297" s="1">
        <v>795</v>
      </c>
      <c r="B297" s="1">
        <v>-260.486898</v>
      </c>
      <c r="C297" s="1">
        <v>96.591154000000003</v>
      </c>
      <c r="D297" s="1">
        <v>0</v>
      </c>
    </row>
    <row r="298" spans="1:4" x14ac:dyDescent="0.25">
      <c r="A298" s="1">
        <v>796</v>
      </c>
      <c r="B298" s="1">
        <v>-261.31177000000002</v>
      </c>
      <c r="C298" s="1">
        <v>96.025648000000004</v>
      </c>
      <c r="D298" s="1">
        <v>0</v>
      </c>
    </row>
    <row r="299" spans="1:4" x14ac:dyDescent="0.25">
      <c r="A299" s="1">
        <v>797</v>
      </c>
      <c r="B299" s="1">
        <v>-262.16428500000001</v>
      </c>
      <c r="C299" s="1">
        <v>95.441190000000006</v>
      </c>
      <c r="D299" s="1">
        <v>0</v>
      </c>
    </row>
    <row r="300" spans="1:4" x14ac:dyDescent="0.25">
      <c r="A300" s="1">
        <v>798</v>
      </c>
      <c r="B300" s="1">
        <v>-262.98910000000001</v>
      </c>
      <c r="C300" s="1">
        <v>94.875724000000005</v>
      </c>
      <c r="D300" s="1">
        <v>0</v>
      </c>
    </row>
    <row r="301" spans="1:4" x14ac:dyDescent="0.25">
      <c r="A301" s="1">
        <v>799</v>
      </c>
      <c r="B301" s="1">
        <v>-263.81390499999998</v>
      </c>
      <c r="C301" s="1">
        <v>94.310263000000006</v>
      </c>
      <c r="D301" s="1">
        <v>0</v>
      </c>
    </row>
    <row r="302" spans="1:4" x14ac:dyDescent="0.25">
      <c r="A302" s="1">
        <v>800</v>
      </c>
      <c r="B302" s="1">
        <v>-264.65958000000001</v>
      </c>
      <c r="C302" s="1">
        <v>93.730495000000005</v>
      </c>
      <c r="D302" s="1">
        <v>0</v>
      </c>
    </row>
    <row r="303" spans="1:4" x14ac:dyDescent="0.25">
      <c r="A303" s="1">
        <v>801</v>
      </c>
      <c r="B303" s="1">
        <v>-265.48436600000002</v>
      </c>
      <c r="C303" s="1">
        <v>93.165047999999999</v>
      </c>
      <c r="D303" s="1">
        <v>0</v>
      </c>
    </row>
    <row r="304" spans="1:4" x14ac:dyDescent="0.25">
      <c r="A304" s="1">
        <v>802</v>
      </c>
      <c r="B304" s="1">
        <v>-266.33403199999998</v>
      </c>
      <c r="C304" s="1">
        <v>92.582543999999999</v>
      </c>
      <c r="D304" s="1">
        <v>0</v>
      </c>
    </row>
    <row r="305" spans="1:4" x14ac:dyDescent="0.25">
      <c r="A305" s="1">
        <v>803</v>
      </c>
      <c r="B305" s="1">
        <v>-267.15882900000003</v>
      </c>
      <c r="C305" s="1">
        <v>92.017088999999999</v>
      </c>
      <c r="D305" s="1">
        <v>0</v>
      </c>
    </row>
    <row r="306" spans="1:4" x14ac:dyDescent="0.25">
      <c r="A306" s="1">
        <v>804</v>
      </c>
      <c r="B306" s="1">
        <v>-267.98362600000002</v>
      </c>
      <c r="C306" s="1">
        <v>91.451634999999996</v>
      </c>
      <c r="D306" s="1">
        <v>0</v>
      </c>
    </row>
    <row r="307" spans="1:4" x14ac:dyDescent="0.25">
      <c r="A307" s="1">
        <v>805</v>
      </c>
      <c r="B307" s="1">
        <v>-268.808423</v>
      </c>
      <c r="C307" s="1">
        <v>90.886179999999996</v>
      </c>
      <c r="D307" s="1">
        <v>0</v>
      </c>
    </row>
    <row r="308" spans="1:4" x14ac:dyDescent="0.25">
      <c r="A308" s="1">
        <v>806</v>
      </c>
      <c r="B308" s="1">
        <v>-269.67581300000001</v>
      </c>
      <c r="C308" s="1">
        <v>90.291524999999993</v>
      </c>
      <c r="D308" s="1">
        <v>0</v>
      </c>
    </row>
    <row r="309" spans="1:4" x14ac:dyDescent="0.25">
      <c r="A309" s="1">
        <v>807</v>
      </c>
      <c r="B309" s="1">
        <v>-270.49730299999999</v>
      </c>
      <c r="C309" s="1">
        <v>89.728337999999994</v>
      </c>
      <c r="D309" s="1">
        <v>0</v>
      </c>
    </row>
    <row r="310" spans="1:4" x14ac:dyDescent="0.25">
      <c r="A310" s="1">
        <v>808</v>
      </c>
      <c r="B310" s="1">
        <v>-270.50064600000002</v>
      </c>
      <c r="C310" s="1">
        <v>89.725898000000001</v>
      </c>
      <c r="D310" s="1">
        <v>0</v>
      </c>
    </row>
    <row r="311" spans="1:4" x14ac:dyDescent="0.25">
      <c r="A311" s="1">
        <v>809</v>
      </c>
      <c r="B311" s="1">
        <v>-271.308471</v>
      </c>
      <c r="C311" s="1">
        <v>89.136341000000002</v>
      </c>
      <c r="D311" s="1">
        <v>0</v>
      </c>
    </row>
    <row r="312" spans="1:4" x14ac:dyDescent="0.25">
      <c r="A312" s="1">
        <v>810</v>
      </c>
      <c r="B312" s="1">
        <v>-272.11629499999998</v>
      </c>
      <c r="C312" s="1">
        <v>88.546785</v>
      </c>
      <c r="D312" s="1">
        <v>0</v>
      </c>
    </row>
    <row r="313" spans="1:4" x14ac:dyDescent="0.25">
      <c r="A313" s="1">
        <v>811</v>
      </c>
      <c r="B313" s="1">
        <v>-272.92412100000001</v>
      </c>
      <c r="C313" s="1">
        <v>87.957227000000003</v>
      </c>
      <c r="D313" s="1">
        <v>0</v>
      </c>
    </row>
    <row r="314" spans="1:4" x14ac:dyDescent="0.25">
      <c r="A314" s="1">
        <v>812</v>
      </c>
      <c r="B314" s="1">
        <v>-273.76665100000002</v>
      </c>
      <c r="C314" s="1">
        <v>87.342342000000002</v>
      </c>
      <c r="D314" s="1">
        <v>0</v>
      </c>
    </row>
    <row r="315" spans="1:4" x14ac:dyDescent="0.25">
      <c r="A315" s="1">
        <v>813</v>
      </c>
      <c r="B315" s="1">
        <v>-274.57441599999999</v>
      </c>
      <c r="C315" s="1">
        <v>86.752830000000003</v>
      </c>
      <c r="D315" s="1">
        <v>0</v>
      </c>
    </row>
    <row r="316" spans="1:4" x14ac:dyDescent="0.25">
      <c r="A316" s="1">
        <v>814</v>
      </c>
      <c r="B316" s="1">
        <v>-275.38218000000001</v>
      </c>
      <c r="C316" s="1">
        <v>86.163317000000006</v>
      </c>
      <c r="D316" s="1">
        <v>0</v>
      </c>
    </row>
    <row r="317" spans="1:4" x14ac:dyDescent="0.25">
      <c r="A317" s="1">
        <v>815</v>
      </c>
      <c r="B317" s="1">
        <v>-276.22059000000002</v>
      </c>
      <c r="C317" s="1">
        <v>85.551439000000002</v>
      </c>
      <c r="D317" s="1">
        <v>0</v>
      </c>
    </row>
    <row r="318" spans="1:4" x14ac:dyDescent="0.25">
      <c r="A318" s="1">
        <v>816</v>
      </c>
      <c r="B318" s="1">
        <v>-277.02836400000001</v>
      </c>
      <c r="C318" s="1">
        <v>84.961918999999995</v>
      </c>
      <c r="D318" s="1">
        <v>0</v>
      </c>
    </row>
    <row r="319" spans="1:4" x14ac:dyDescent="0.25">
      <c r="A319" s="1">
        <v>817</v>
      </c>
      <c r="B319" s="1">
        <v>-277.836141</v>
      </c>
      <c r="C319" s="1">
        <v>84.372398000000004</v>
      </c>
      <c r="D319" s="1">
        <v>0</v>
      </c>
    </row>
    <row r="320" spans="1:4" x14ac:dyDescent="0.25">
      <c r="A320" s="1">
        <v>818</v>
      </c>
      <c r="B320" s="1">
        <v>-278.67870599999998</v>
      </c>
      <c r="C320" s="1">
        <v>83.757486999999998</v>
      </c>
      <c r="D320" s="1">
        <v>0</v>
      </c>
    </row>
    <row r="321" spans="1:4" x14ac:dyDescent="0.25">
      <c r="A321" s="1">
        <v>819</v>
      </c>
      <c r="B321" s="1">
        <v>-279.48656199999999</v>
      </c>
      <c r="C321" s="1">
        <v>83.167907999999997</v>
      </c>
      <c r="D321" s="1">
        <v>0</v>
      </c>
    </row>
    <row r="322" spans="1:4" x14ac:dyDescent="0.25">
      <c r="A322" s="1">
        <v>820</v>
      </c>
      <c r="B322" s="1">
        <v>-280.29155200000002</v>
      </c>
      <c r="C322" s="1">
        <v>82.580420000000004</v>
      </c>
      <c r="D322" s="1">
        <v>0</v>
      </c>
    </row>
    <row r="323" spans="1:4" x14ac:dyDescent="0.25">
      <c r="A323" s="1">
        <v>821</v>
      </c>
      <c r="B323" s="1">
        <v>-280.294354</v>
      </c>
      <c r="C323" s="1">
        <v>82.578243999999998</v>
      </c>
      <c r="D323" s="1">
        <v>0</v>
      </c>
    </row>
    <row r="324" spans="1:4" x14ac:dyDescent="0.25">
      <c r="A324" s="1">
        <v>822</v>
      </c>
      <c r="B324" s="1">
        <v>-281.08421399999997</v>
      </c>
      <c r="C324" s="1">
        <v>81.964783999999995</v>
      </c>
      <c r="D324" s="1">
        <v>0</v>
      </c>
    </row>
    <row r="325" spans="1:4" x14ac:dyDescent="0.25">
      <c r="A325" s="1">
        <v>823</v>
      </c>
      <c r="B325" s="1">
        <v>-281.874075</v>
      </c>
      <c r="C325" s="1">
        <v>81.351324000000005</v>
      </c>
      <c r="D325" s="1">
        <v>0</v>
      </c>
    </row>
    <row r="326" spans="1:4" x14ac:dyDescent="0.25">
      <c r="A326" s="1">
        <v>824</v>
      </c>
      <c r="B326" s="1">
        <v>-282.698081</v>
      </c>
      <c r="C326" s="1">
        <v>80.711342999999999</v>
      </c>
      <c r="D326" s="1">
        <v>0</v>
      </c>
    </row>
    <row r="327" spans="1:4" x14ac:dyDescent="0.25">
      <c r="A327" s="1">
        <v>825</v>
      </c>
      <c r="B327" s="1">
        <v>-283.48786699999999</v>
      </c>
      <c r="C327" s="1">
        <v>80.097941000000006</v>
      </c>
      <c r="D327" s="1">
        <v>0</v>
      </c>
    </row>
    <row r="328" spans="1:4" x14ac:dyDescent="0.25">
      <c r="A328" s="1">
        <v>826</v>
      </c>
      <c r="B328" s="1">
        <v>-284.27765299999999</v>
      </c>
      <c r="C328" s="1">
        <v>79.484538999999998</v>
      </c>
      <c r="D328" s="1">
        <v>0</v>
      </c>
    </row>
    <row r="329" spans="1:4" x14ac:dyDescent="0.25">
      <c r="A329" s="1">
        <v>827</v>
      </c>
      <c r="B329" s="1">
        <v>-285.09081200000003</v>
      </c>
      <c r="C329" s="1">
        <v>78.852982999999995</v>
      </c>
      <c r="D329" s="1">
        <v>0</v>
      </c>
    </row>
    <row r="330" spans="1:4" x14ac:dyDescent="0.25">
      <c r="A330" s="1">
        <v>828</v>
      </c>
      <c r="B330" s="1">
        <v>-285.880628</v>
      </c>
      <c r="C330" s="1">
        <v>78.239558000000002</v>
      </c>
      <c r="D330" s="1">
        <v>0</v>
      </c>
    </row>
    <row r="331" spans="1:4" x14ac:dyDescent="0.25">
      <c r="A331" s="1">
        <v>829</v>
      </c>
      <c r="B331" s="1">
        <v>-286.705714</v>
      </c>
      <c r="C331" s="1">
        <v>77.598738999999995</v>
      </c>
      <c r="D331" s="1">
        <v>0</v>
      </c>
    </row>
    <row r="332" spans="1:4" x14ac:dyDescent="0.25">
      <c r="A332" s="1">
        <v>830</v>
      </c>
      <c r="B332" s="1">
        <v>-287.49554499999999</v>
      </c>
      <c r="C332" s="1">
        <v>76.985302000000004</v>
      </c>
      <c r="D332" s="1">
        <v>0</v>
      </c>
    </row>
    <row r="333" spans="1:4" x14ac:dyDescent="0.25">
      <c r="A333" s="1">
        <v>831</v>
      </c>
      <c r="B333" s="1">
        <v>-288.28537599999999</v>
      </c>
      <c r="C333" s="1">
        <v>76.371864000000002</v>
      </c>
      <c r="D333" s="1">
        <v>0</v>
      </c>
    </row>
    <row r="334" spans="1:4" x14ac:dyDescent="0.25">
      <c r="A334" s="1">
        <v>832</v>
      </c>
      <c r="B334" s="1">
        <v>-289.075221</v>
      </c>
      <c r="C334" s="1">
        <v>75.758416999999994</v>
      </c>
      <c r="D334" s="1">
        <v>0</v>
      </c>
    </row>
    <row r="335" spans="1:4" x14ac:dyDescent="0.25">
      <c r="A335" s="1">
        <v>833</v>
      </c>
      <c r="B335" s="1">
        <v>-289.86263600000001</v>
      </c>
      <c r="C335" s="1">
        <v>75.146856</v>
      </c>
      <c r="D335" s="1">
        <v>0</v>
      </c>
    </row>
    <row r="336" spans="1:4" x14ac:dyDescent="0.25">
      <c r="A336" s="1">
        <v>834</v>
      </c>
      <c r="B336" s="1">
        <v>-289.86499600000002</v>
      </c>
      <c r="C336" s="1">
        <v>75.144908000000001</v>
      </c>
      <c r="D336" s="1">
        <v>0</v>
      </c>
    </row>
    <row r="337" spans="1:4" x14ac:dyDescent="0.25">
      <c r="A337" s="1">
        <v>835</v>
      </c>
      <c r="B337" s="1">
        <v>-290.63640600000002</v>
      </c>
      <c r="C337" s="1">
        <v>74.508322000000007</v>
      </c>
      <c r="D337" s="1">
        <v>0</v>
      </c>
    </row>
    <row r="338" spans="1:4" x14ac:dyDescent="0.25">
      <c r="A338" s="1">
        <v>836</v>
      </c>
      <c r="B338" s="1">
        <v>-291.44505299999997</v>
      </c>
      <c r="C338" s="1">
        <v>73.841007000000005</v>
      </c>
      <c r="D338" s="1">
        <v>0</v>
      </c>
    </row>
    <row r="339" spans="1:4" x14ac:dyDescent="0.25">
      <c r="A339" s="1">
        <v>837</v>
      </c>
      <c r="B339" s="1">
        <v>-292.21636899999999</v>
      </c>
      <c r="C339" s="1">
        <v>73.204497000000003</v>
      </c>
      <c r="D339" s="1">
        <v>0</v>
      </c>
    </row>
    <row r="340" spans="1:4" x14ac:dyDescent="0.25">
      <c r="A340" s="1">
        <v>838</v>
      </c>
      <c r="B340" s="1">
        <v>-292.98767600000002</v>
      </c>
      <c r="C340" s="1">
        <v>72.567995999999994</v>
      </c>
      <c r="D340" s="1">
        <v>0</v>
      </c>
    </row>
    <row r="341" spans="1:4" x14ac:dyDescent="0.25">
      <c r="A341" s="1">
        <v>839</v>
      </c>
      <c r="B341" s="1">
        <v>-293.77822400000002</v>
      </c>
      <c r="C341" s="1">
        <v>71.915616</v>
      </c>
      <c r="D341" s="1">
        <v>0</v>
      </c>
    </row>
    <row r="342" spans="1:4" x14ac:dyDescent="0.25">
      <c r="A342" s="1">
        <v>840</v>
      </c>
      <c r="B342" s="1">
        <v>-294.55894599999999</v>
      </c>
      <c r="C342" s="1">
        <v>71.271344999999997</v>
      </c>
      <c r="D342" s="1">
        <v>0</v>
      </c>
    </row>
    <row r="343" spans="1:4" x14ac:dyDescent="0.25">
      <c r="A343" s="1">
        <v>841</v>
      </c>
      <c r="B343" s="1">
        <v>-295.35754100000003</v>
      </c>
      <c r="C343" s="1">
        <v>70.612324999999998</v>
      </c>
      <c r="D343" s="1">
        <v>0</v>
      </c>
    </row>
    <row r="344" spans="1:4" x14ac:dyDescent="0.25">
      <c r="A344" s="1">
        <v>842</v>
      </c>
      <c r="B344" s="1">
        <v>-296.12886300000002</v>
      </c>
      <c r="C344" s="1">
        <v>69.975810999999993</v>
      </c>
      <c r="D344" s="1">
        <v>0</v>
      </c>
    </row>
    <row r="345" spans="1:4" x14ac:dyDescent="0.25">
      <c r="A345" s="1">
        <v>843</v>
      </c>
      <c r="B345" s="1">
        <v>-296.90018500000002</v>
      </c>
      <c r="C345" s="1">
        <v>69.339297999999999</v>
      </c>
      <c r="D345" s="1">
        <v>0</v>
      </c>
    </row>
    <row r="346" spans="1:4" x14ac:dyDescent="0.25">
      <c r="A346" s="1">
        <v>844</v>
      </c>
      <c r="B346" s="1">
        <v>-297.67150600000002</v>
      </c>
      <c r="C346" s="1">
        <v>68.702783999999994</v>
      </c>
      <c r="D346" s="1">
        <v>0</v>
      </c>
    </row>
    <row r="347" spans="1:4" x14ac:dyDescent="0.25">
      <c r="A347" s="1">
        <v>845</v>
      </c>
      <c r="B347" s="1">
        <v>-298.44286599999998</v>
      </c>
      <c r="C347" s="1">
        <v>68.066238999999996</v>
      </c>
      <c r="D347" s="1">
        <v>0</v>
      </c>
    </row>
    <row r="348" spans="1:4" x14ac:dyDescent="0.25">
      <c r="A348" s="1">
        <v>846</v>
      </c>
      <c r="B348" s="1">
        <v>-299.21215699999999</v>
      </c>
      <c r="C348" s="1">
        <v>67.431400999999994</v>
      </c>
      <c r="D348" s="1">
        <v>0</v>
      </c>
    </row>
    <row r="349" spans="1:4" x14ac:dyDescent="0.25">
      <c r="A349" s="1">
        <v>847</v>
      </c>
      <c r="B349" s="1">
        <v>-299.214136</v>
      </c>
      <c r="C349" s="1">
        <v>67.429664000000002</v>
      </c>
      <c r="D349" s="1">
        <v>0</v>
      </c>
    </row>
    <row r="350" spans="1:4" x14ac:dyDescent="0.25">
      <c r="A350" s="1">
        <v>848</v>
      </c>
      <c r="B350" s="1">
        <v>-300.00612799999999</v>
      </c>
      <c r="C350" s="1">
        <v>66.734497000000005</v>
      </c>
      <c r="D350" s="1">
        <v>0</v>
      </c>
    </row>
    <row r="351" spans="1:4" x14ac:dyDescent="0.25">
      <c r="A351" s="1">
        <v>849</v>
      </c>
      <c r="B351" s="1">
        <v>-300.75771400000002</v>
      </c>
      <c r="C351" s="1">
        <v>66.074798000000001</v>
      </c>
      <c r="D351" s="1">
        <v>0</v>
      </c>
    </row>
    <row r="352" spans="1:4" x14ac:dyDescent="0.25">
      <c r="A352" s="1">
        <v>850</v>
      </c>
      <c r="B352" s="1">
        <v>-301.509321</v>
      </c>
      <c r="C352" s="1">
        <v>65.415079000000006</v>
      </c>
      <c r="D352" s="1">
        <v>0</v>
      </c>
    </row>
    <row r="353" spans="1:4" x14ac:dyDescent="0.25">
      <c r="A353" s="1">
        <v>851</v>
      </c>
      <c r="B353" s="1">
        <v>-302.28203300000001</v>
      </c>
      <c r="C353" s="1">
        <v>64.736835999999997</v>
      </c>
      <c r="D353" s="1">
        <v>0</v>
      </c>
    </row>
    <row r="354" spans="1:4" x14ac:dyDescent="0.25">
      <c r="A354" s="1">
        <v>852</v>
      </c>
      <c r="B354" s="1">
        <v>-303.03359</v>
      </c>
      <c r="C354" s="1">
        <v>64.077162000000001</v>
      </c>
      <c r="D354" s="1">
        <v>0</v>
      </c>
    </row>
    <row r="355" spans="1:4" x14ac:dyDescent="0.25">
      <c r="A355" s="1">
        <v>853</v>
      </c>
      <c r="B355" s="1">
        <v>-303.81483800000001</v>
      </c>
      <c r="C355" s="1">
        <v>63.391426000000003</v>
      </c>
      <c r="D355" s="1">
        <v>0</v>
      </c>
    </row>
    <row r="356" spans="1:4" x14ac:dyDescent="0.25">
      <c r="A356" s="1">
        <v>854</v>
      </c>
      <c r="B356" s="1">
        <v>-304.56640599999997</v>
      </c>
      <c r="C356" s="1">
        <v>62.731741999999997</v>
      </c>
      <c r="D356" s="1">
        <v>0</v>
      </c>
    </row>
    <row r="357" spans="1:4" x14ac:dyDescent="0.25">
      <c r="A357" s="1">
        <v>855</v>
      </c>
      <c r="B357" s="1">
        <v>-305.31797299999999</v>
      </c>
      <c r="C357" s="1">
        <v>62.072057999999998</v>
      </c>
      <c r="D357" s="1">
        <v>0</v>
      </c>
    </row>
    <row r="358" spans="1:4" x14ac:dyDescent="0.25">
      <c r="A358" s="1">
        <v>856</v>
      </c>
      <c r="B358" s="1">
        <v>-306.06954000000002</v>
      </c>
      <c r="C358" s="1">
        <v>61.412374999999997</v>
      </c>
      <c r="D358" s="1">
        <v>0</v>
      </c>
    </row>
    <row r="359" spans="1:4" x14ac:dyDescent="0.25">
      <c r="A359" s="1">
        <v>857</v>
      </c>
      <c r="B359" s="1">
        <v>-306.82110799999998</v>
      </c>
      <c r="C359" s="1">
        <v>60.752690999999999</v>
      </c>
      <c r="D359" s="1">
        <v>0</v>
      </c>
    </row>
    <row r="360" spans="1:4" x14ac:dyDescent="0.25">
      <c r="A360" s="1">
        <v>858</v>
      </c>
      <c r="B360" s="1">
        <v>-307.57271500000002</v>
      </c>
      <c r="C360" s="1">
        <v>60.092972000000003</v>
      </c>
      <c r="D360" s="1">
        <v>0</v>
      </c>
    </row>
    <row r="361" spans="1:4" x14ac:dyDescent="0.25">
      <c r="A361" s="1">
        <v>859</v>
      </c>
      <c r="B361" s="1">
        <v>-308.35370499999999</v>
      </c>
      <c r="C361" s="1">
        <v>59.407463</v>
      </c>
      <c r="D361" s="1">
        <v>0</v>
      </c>
    </row>
    <row r="362" spans="1:4" x14ac:dyDescent="0.25">
      <c r="A362" s="1">
        <v>860</v>
      </c>
      <c r="B362" s="1">
        <v>-308.35538000000003</v>
      </c>
      <c r="C362" s="1">
        <v>59.405901</v>
      </c>
      <c r="D362" s="1">
        <v>0</v>
      </c>
    </row>
    <row r="363" spans="1:4" x14ac:dyDescent="0.25">
      <c r="A363" s="1">
        <v>861</v>
      </c>
      <c r="B363" s="1">
        <v>-309.08672799999999</v>
      </c>
      <c r="C363" s="1">
        <v>58.723731000000001</v>
      </c>
      <c r="D363" s="1">
        <v>0</v>
      </c>
    </row>
    <row r="364" spans="1:4" x14ac:dyDescent="0.25">
      <c r="A364" s="1">
        <v>862</v>
      </c>
      <c r="B364" s="1">
        <v>-309.83553799999999</v>
      </c>
      <c r="C364" s="1">
        <v>58.025272000000001</v>
      </c>
      <c r="D364" s="1">
        <v>0</v>
      </c>
    </row>
    <row r="365" spans="1:4" x14ac:dyDescent="0.25">
      <c r="A365" s="1">
        <v>863</v>
      </c>
      <c r="B365" s="1">
        <v>-310.56687299999999</v>
      </c>
      <c r="C365" s="1">
        <v>57.343114</v>
      </c>
      <c r="D365" s="1">
        <v>0</v>
      </c>
    </row>
    <row r="366" spans="1:4" x14ac:dyDescent="0.25">
      <c r="A366" s="1">
        <v>864</v>
      </c>
      <c r="B366" s="1">
        <v>-311.31230099999999</v>
      </c>
      <c r="C366" s="1">
        <v>56.647810999999997</v>
      </c>
      <c r="D366" s="1">
        <v>0</v>
      </c>
    </row>
    <row r="367" spans="1:4" x14ac:dyDescent="0.25">
      <c r="A367" s="1">
        <v>865</v>
      </c>
      <c r="B367" s="1">
        <v>-312.07025800000002</v>
      </c>
      <c r="C367" s="1">
        <v>55.940820000000002</v>
      </c>
      <c r="D367" s="1">
        <v>0</v>
      </c>
    </row>
    <row r="368" spans="1:4" x14ac:dyDescent="0.25">
      <c r="A368" s="1">
        <v>866</v>
      </c>
      <c r="B368" s="1">
        <v>-312.80152600000002</v>
      </c>
      <c r="C368" s="1">
        <v>55.258724000000001</v>
      </c>
      <c r="D368" s="1">
        <v>0</v>
      </c>
    </row>
    <row r="369" spans="1:4" x14ac:dyDescent="0.25">
      <c r="A369" s="1">
        <v>867</v>
      </c>
      <c r="B369" s="1">
        <v>-313.53279400000002</v>
      </c>
      <c r="C369" s="1">
        <v>54.576627999999999</v>
      </c>
      <c r="D369" s="1">
        <v>0</v>
      </c>
    </row>
    <row r="370" spans="1:4" x14ac:dyDescent="0.25">
      <c r="A370" s="1">
        <v>868</v>
      </c>
      <c r="B370" s="1">
        <v>-314.26406300000002</v>
      </c>
      <c r="C370" s="1">
        <v>53.894531999999998</v>
      </c>
      <c r="D370" s="1">
        <v>0</v>
      </c>
    </row>
    <row r="371" spans="1:4" x14ac:dyDescent="0.25">
      <c r="A371" s="1">
        <v>869</v>
      </c>
      <c r="B371" s="1">
        <v>-314.99533100000002</v>
      </c>
      <c r="C371" s="1">
        <v>53.212437000000001</v>
      </c>
      <c r="D371" s="1">
        <v>0</v>
      </c>
    </row>
    <row r="372" spans="1:4" x14ac:dyDescent="0.25">
      <c r="A372" s="1">
        <v>870</v>
      </c>
      <c r="B372" s="1">
        <v>-315.75201299999998</v>
      </c>
      <c r="C372" s="1">
        <v>52.506636</v>
      </c>
      <c r="D372" s="1">
        <v>0</v>
      </c>
    </row>
    <row r="373" spans="1:4" x14ac:dyDescent="0.25">
      <c r="A373" s="1">
        <v>871</v>
      </c>
      <c r="B373" s="1">
        <v>-316.48819700000001</v>
      </c>
      <c r="C373" s="1">
        <v>51.819955</v>
      </c>
      <c r="D373" s="1">
        <v>0</v>
      </c>
    </row>
    <row r="374" spans="1:4" x14ac:dyDescent="0.25">
      <c r="A374" s="1">
        <v>872</v>
      </c>
      <c r="B374" s="1">
        <v>-317.23468600000001</v>
      </c>
      <c r="C374" s="1">
        <v>51.123660999999998</v>
      </c>
      <c r="D374" s="1">
        <v>0</v>
      </c>
    </row>
    <row r="375" spans="1:4" x14ac:dyDescent="0.25">
      <c r="A375" s="1">
        <v>873</v>
      </c>
      <c r="B375" s="1">
        <v>-317.23603400000002</v>
      </c>
      <c r="C375" s="1">
        <v>51.122326000000001</v>
      </c>
      <c r="D375" s="1">
        <v>0</v>
      </c>
    </row>
    <row r="376" spans="1:4" x14ac:dyDescent="0.25">
      <c r="A376" s="1">
        <v>874</v>
      </c>
      <c r="B376" s="1">
        <v>-317.946528</v>
      </c>
      <c r="C376" s="1">
        <v>50.418503000000001</v>
      </c>
      <c r="D376" s="1">
        <v>0</v>
      </c>
    </row>
    <row r="377" spans="1:4" x14ac:dyDescent="0.25">
      <c r="A377" s="1">
        <v>875</v>
      </c>
      <c r="B377" s="1">
        <v>-318.65702199999998</v>
      </c>
      <c r="C377" s="1">
        <v>49.714680000000001</v>
      </c>
      <c r="D377" s="1">
        <v>0</v>
      </c>
    </row>
    <row r="378" spans="1:4" x14ac:dyDescent="0.25">
      <c r="A378" s="1">
        <v>876</v>
      </c>
      <c r="B378" s="1">
        <v>-319.38429400000001</v>
      </c>
      <c r="C378" s="1">
        <v>48.994236999999998</v>
      </c>
      <c r="D378" s="1">
        <v>0</v>
      </c>
    </row>
    <row r="379" spans="1:4" x14ac:dyDescent="0.25">
      <c r="A379" s="1">
        <v>877</v>
      </c>
      <c r="B379" s="1">
        <v>-320.10230200000001</v>
      </c>
      <c r="C379" s="1">
        <v>48.282971000000003</v>
      </c>
      <c r="D379" s="1">
        <v>0</v>
      </c>
    </row>
    <row r="380" spans="1:4" x14ac:dyDescent="0.25">
      <c r="A380" s="1">
        <v>878</v>
      </c>
      <c r="B380" s="1">
        <v>-320.82334100000003</v>
      </c>
      <c r="C380" s="1">
        <v>47.568702000000002</v>
      </c>
      <c r="D380" s="1">
        <v>0</v>
      </c>
    </row>
    <row r="381" spans="1:4" x14ac:dyDescent="0.25">
      <c r="A381" s="1">
        <v>879</v>
      </c>
      <c r="B381" s="1">
        <v>-321.53377599999999</v>
      </c>
      <c r="C381" s="1">
        <v>46.864938000000002</v>
      </c>
      <c r="D381" s="1">
        <v>0</v>
      </c>
    </row>
    <row r="382" spans="1:4" x14ac:dyDescent="0.25">
      <c r="A382" s="1">
        <v>880</v>
      </c>
      <c r="B382" s="1">
        <v>-322.26290699999998</v>
      </c>
      <c r="C382" s="1">
        <v>46.142653000000003</v>
      </c>
      <c r="D382" s="1">
        <v>0</v>
      </c>
    </row>
    <row r="383" spans="1:4" x14ac:dyDescent="0.25">
      <c r="A383" s="1">
        <v>881</v>
      </c>
      <c r="B383" s="1">
        <v>-322.97334699999999</v>
      </c>
      <c r="C383" s="1">
        <v>45.438884000000002</v>
      </c>
      <c r="D383" s="1">
        <v>0</v>
      </c>
    </row>
    <row r="384" spans="1:4" x14ac:dyDescent="0.25">
      <c r="A384" s="1">
        <v>882</v>
      </c>
      <c r="B384" s="1">
        <v>-323.695718</v>
      </c>
      <c r="C384" s="1">
        <v>44.723295</v>
      </c>
      <c r="D384" s="1">
        <v>0</v>
      </c>
    </row>
    <row r="385" spans="1:4" x14ac:dyDescent="0.25">
      <c r="A385" s="1">
        <v>883</v>
      </c>
      <c r="B385" s="1">
        <v>-324.42809199999999</v>
      </c>
      <c r="C385" s="1">
        <v>43.997798000000003</v>
      </c>
      <c r="D385" s="1">
        <v>0</v>
      </c>
    </row>
    <row r="386" spans="1:4" x14ac:dyDescent="0.25">
      <c r="A386" s="1">
        <v>884</v>
      </c>
      <c r="B386" s="1">
        <v>-325.13860299999999</v>
      </c>
      <c r="C386" s="1">
        <v>43.293959000000001</v>
      </c>
      <c r="D386" s="1">
        <v>0</v>
      </c>
    </row>
    <row r="387" spans="1:4" x14ac:dyDescent="0.25">
      <c r="A387" s="1">
        <v>885</v>
      </c>
      <c r="B387" s="1">
        <v>-325.848141</v>
      </c>
      <c r="C387" s="1">
        <v>42.591082999999998</v>
      </c>
      <c r="D387" s="1">
        <v>0</v>
      </c>
    </row>
    <row r="388" spans="1:4" x14ac:dyDescent="0.25">
      <c r="A388" s="1">
        <v>886</v>
      </c>
      <c r="B388" s="1">
        <v>-325.849086</v>
      </c>
      <c r="C388" s="1">
        <v>42.590091999999999</v>
      </c>
      <c r="D388" s="1">
        <v>0</v>
      </c>
    </row>
    <row r="389" spans="1:4" x14ac:dyDescent="0.25">
      <c r="A389" s="1">
        <v>887</v>
      </c>
      <c r="B389" s="1">
        <v>-326.53926300000001</v>
      </c>
      <c r="C389" s="1">
        <v>41.866320000000002</v>
      </c>
      <c r="D389" s="1">
        <v>0</v>
      </c>
    </row>
    <row r="390" spans="1:4" x14ac:dyDescent="0.25">
      <c r="A390" s="1">
        <v>888</v>
      </c>
      <c r="B390" s="1">
        <v>-327.22944000000001</v>
      </c>
      <c r="C390" s="1">
        <v>41.142547</v>
      </c>
      <c r="D390" s="1">
        <v>0</v>
      </c>
    </row>
    <row r="391" spans="1:4" x14ac:dyDescent="0.25">
      <c r="A391" s="1">
        <v>889</v>
      </c>
      <c r="B391" s="1">
        <v>-327.95983200000001</v>
      </c>
      <c r="C391" s="1">
        <v>40.376601999999998</v>
      </c>
      <c r="D391" s="1">
        <v>0</v>
      </c>
    </row>
    <row r="392" spans="1:4" x14ac:dyDescent="0.25">
      <c r="A392" s="1">
        <v>890</v>
      </c>
      <c r="B392" s="1">
        <v>-328.64994300000001</v>
      </c>
      <c r="C392" s="1">
        <v>39.652898999999998</v>
      </c>
      <c r="D392" s="1">
        <v>0</v>
      </c>
    </row>
    <row r="393" spans="1:4" x14ac:dyDescent="0.25">
      <c r="A393" s="1">
        <v>891</v>
      </c>
      <c r="B393" s="1">
        <v>-329.34005400000001</v>
      </c>
      <c r="C393" s="1">
        <v>38.929195</v>
      </c>
      <c r="D393" s="1">
        <v>0</v>
      </c>
    </row>
    <row r="394" spans="1:4" x14ac:dyDescent="0.25">
      <c r="A394" s="1">
        <v>892</v>
      </c>
      <c r="B394" s="1">
        <v>-330.03016600000001</v>
      </c>
      <c r="C394" s="1">
        <v>38.205491000000002</v>
      </c>
      <c r="D394" s="1">
        <v>0</v>
      </c>
    </row>
    <row r="395" spans="1:4" x14ac:dyDescent="0.25">
      <c r="A395" s="1">
        <v>893</v>
      </c>
      <c r="B395" s="1">
        <v>-330.72032000000002</v>
      </c>
      <c r="C395" s="1">
        <v>37.481743000000002</v>
      </c>
      <c r="D395" s="1">
        <v>0</v>
      </c>
    </row>
    <row r="396" spans="1:4" x14ac:dyDescent="0.25">
      <c r="A396" s="1">
        <v>894</v>
      </c>
      <c r="B396" s="1">
        <v>-331.43228800000003</v>
      </c>
      <c r="C396" s="1">
        <v>36.735118999999997</v>
      </c>
      <c r="D396" s="1">
        <v>0</v>
      </c>
    </row>
    <row r="397" spans="1:4" x14ac:dyDescent="0.25">
      <c r="A397" s="1">
        <v>895</v>
      </c>
      <c r="B397" s="1">
        <v>-332.14170799999999</v>
      </c>
      <c r="C397" s="1">
        <v>35.991166</v>
      </c>
      <c r="D397" s="1">
        <v>0</v>
      </c>
    </row>
    <row r="398" spans="1:4" x14ac:dyDescent="0.25">
      <c r="A398" s="1">
        <v>896</v>
      </c>
      <c r="B398" s="1">
        <v>-332.83187400000003</v>
      </c>
      <c r="C398" s="1">
        <v>35.267404999999997</v>
      </c>
      <c r="D398" s="1">
        <v>0</v>
      </c>
    </row>
    <row r="399" spans="1:4" x14ac:dyDescent="0.25">
      <c r="A399" s="1">
        <v>897</v>
      </c>
      <c r="B399" s="1">
        <v>-333.52133600000002</v>
      </c>
      <c r="C399" s="1">
        <v>34.544381999999999</v>
      </c>
      <c r="D399" s="1">
        <v>0</v>
      </c>
    </row>
    <row r="400" spans="1:4" x14ac:dyDescent="0.25">
      <c r="A400" s="1">
        <v>898</v>
      </c>
      <c r="B400" s="1">
        <v>-334.192972</v>
      </c>
      <c r="C400" s="1">
        <v>33.801940000000002</v>
      </c>
      <c r="D400" s="1">
        <v>0</v>
      </c>
    </row>
    <row r="401" spans="1:4" x14ac:dyDescent="0.25">
      <c r="A401" s="1">
        <v>899</v>
      </c>
      <c r="B401" s="1">
        <v>-334.89817599999998</v>
      </c>
      <c r="C401" s="1">
        <v>33.022392000000004</v>
      </c>
      <c r="D401" s="1">
        <v>0</v>
      </c>
    </row>
    <row r="402" spans="1:4" x14ac:dyDescent="0.25">
      <c r="A402" s="1">
        <v>900</v>
      </c>
      <c r="B402" s="1">
        <v>-335.56903799999998</v>
      </c>
      <c r="C402" s="1">
        <v>32.280805999999998</v>
      </c>
      <c r="D402" s="1">
        <v>0</v>
      </c>
    </row>
    <row r="403" spans="1:4" x14ac:dyDescent="0.25">
      <c r="A403" s="1">
        <v>901</v>
      </c>
      <c r="B403" s="1">
        <v>-336.23990500000002</v>
      </c>
      <c r="C403" s="1">
        <v>31.539214000000001</v>
      </c>
      <c r="D403" s="1">
        <v>0</v>
      </c>
    </row>
    <row r="404" spans="1:4" x14ac:dyDescent="0.25">
      <c r="A404" s="1">
        <v>902</v>
      </c>
      <c r="B404" s="1">
        <v>-336.91076700000002</v>
      </c>
      <c r="C404" s="1">
        <v>30.797629000000001</v>
      </c>
      <c r="D404" s="1">
        <v>0</v>
      </c>
    </row>
    <row r="405" spans="1:4" x14ac:dyDescent="0.25">
      <c r="A405" s="1">
        <v>903</v>
      </c>
      <c r="B405" s="1">
        <v>-337.58162900000002</v>
      </c>
      <c r="C405" s="1">
        <v>30.056042999999999</v>
      </c>
      <c r="D405" s="1">
        <v>0</v>
      </c>
    </row>
    <row r="406" spans="1:4" x14ac:dyDescent="0.25">
      <c r="A406" s="1">
        <v>904</v>
      </c>
      <c r="B406" s="1">
        <v>-338.27462100000002</v>
      </c>
      <c r="C406" s="1">
        <v>29.289992999999999</v>
      </c>
      <c r="D406" s="1">
        <v>0</v>
      </c>
    </row>
    <row r="407" spans="1:4" x14ac:dyDescent="0.25">
      <c r="A407" s="1">
        <v>905</v>
      </c>
      <c r="B407" s="1">
        <v>-338.96426000000002</v>
      </c>
      <c r="C407" s="1">
        <v>28.527650000000001</v>
      </c>
      <c r="D407" s="1">
        <v>0</v>
      </c>
    </row>
    <row r="408" spans="1:4" x14ac:dyDescent="0.25">
      <c r="A408" s="1">
        <v>906</v>
      </c>
      <c r="B408" s="1">
        <v>-339.63516399999997</v>
      </c>
      <c r="C408" s="1">
        <v>27.786017999999999</v>
      </c>
      <c r="D408" s="1">
        <v>0</v>
      </c>
    </row>
    <row r="409" spans="1:4" x14ac:dyDescent="0.25">
      <c r="A409" s="1">
        <v>907</v>
      </c>
      <c r="B409" s="1">
        <v>-340.30556799999999</v>
      </c>
      <c r="C409" s="1">
        <v>27.044937999999998</v>
      </c>
      <c r="D409" s="1">
        <v>0</v>
      </c>
    </row>
    <row r="410" spans="1:4" x14ac:dyDescent="0.25">
      <c r="A410" s="1">
        <v>908</v>
      </c>
      <c r="B410" s="1">
        <v>-340.957494</v>
      </c>
      <c r="C410" s="1">
        <v>26.285533999999998</v>
      </c>
      <c r="D410" s="1">
        <v>0</v>
      </c>
    </row>
    <row r="411" spans="1:4" x14ac:dyDescent="0.25">
      <c r="A411" s="1">
        <v>909</v>
      </c>
      <c r="B411" s="1">
        <v>-341.629276</v>
      </c>
      <c r="C411" s="1">
        <v>25.502998999999999</v>
      </c>
      <c r="D411" s="1">
        <v>0</v>
      </c>
    </row>
    <row r="412" spans="1:4" x14ac:dyDescent="0.25">
      <c r="A412" s="1">
        <v>910</v>
      </c>
      <c r="B412" s="1">
        <v>-342.28066699999999</v>
      </c>
      <c r="C412" s="1">
        <v>24.744218</v>
      </c>
      <c r="D412" s="1">
        <v>0</v>
      </c>
    </row>
    <row r="413" spans="1:4" x14ac:dyDescent="0.25">
      <c r="A413" s="1">
        <v>911</v>
      </c>
      <c r="B413" s="1">
        <v>-342.940901</v>
      </c>
      <c r="C413" s="1">
        <v>23.975134000000001</v>
      </c>
      <c r="D413" s="1">
        <v>0</v>
      </c>
    </row>
    <row r="414" spans="1:4" x14ac:dyDescent="0.25">
      <c r="A414" s="1">
        <v>912</v>
      </c>
      <c r="B414" s="1">
        <v>-343.60545999999999</v>
      </c>
      <c r="C414" s="1">
        <v>23.201014000000001</v>
      </c>
      <c r="D414" s="1">
        <v>0</v>
      </c>
    </row>
    <row r="415" spans="1:4" x14ac:dyDescent="0.25">
      <c r="A415" s="1">
        <v>913</v>
      </c>
      <c r="B415" s="1">
        <v>-344.25684999999999</v>
      </c>
      <c r="C415" s="1">
        <v>22.442233999999999</v>
      </c>
      <c r="D415" s="1">
        <v>0</v>
      </c>
    </row>
    <row r="416" spans="1:4" x14ac:dyDescent="0.25">
      <c r="A416" s="1">
        <v>914</v>
      </c>
      <c r="B416" s="1">
        <v>-344.92345999999998</v>
      </c>
      <c r="C416" s="1">
        <v>21.665724000000001</v>
      </c>
      <c r="D416" s="1">
        <v>0</v>
      </c>
    </row>
    <row r="417" spans="1:4" x14ac:dyDescent="0.25">
      <c r="A417" s="1">
        <v>915</v>
      </c>
      <c r="B417" s="1">
        <v>-345.57483999999999</v>
      </c>
      <c r="C417" s="1">
        <v>20.906955</v>
      </c>
      <c r="D417" s="1">
        <v>0</v>
      </c>
    </row>
    <row r="418" spans="1:4" x14ac:dyDescent="0.25">
      <c r="A418" s="1">
        <v>916</v>
      </c>
      <c r="B418" s="1">
        <v>-346.24444</v>
      </c>
      <c r="C418" s="1">
        <v>20.126961999999999</v>
      </c>
      <c r="D418" s="1">
        <v>0</v>
      </c>
    </row>
    <row r="419" spans="1:4" x14ac:dyDescent="0.25">
      <c r="A419" s="1">
        <v>917</v>
      </c>
      <c r="B419" s="1">
        <v>-346.89586500000001</v>
      </c>
      <c r="C419" s="1">
        <v>19.368141000000001</v>
      </c>
      <c r="D419" s="1">
        <v>0</v>
      </c>
    </row>
    <row r="420" spans="1:4" x14ac:dyDescent="0.25">
      <c r="A420" s="1">
        <v>918</v>
      </c>
      <c r="B420" s="1">
        <v>-347.547012</v>
      </c>
      <c r="C420" s="1">
        <v>18.609643999999999</v>
      </c>
      <c r="D420" s="1">
        <v>0</v>
      </c>
    </row>
    <row r="421" spans="1:4" x14ac:dyDescent="0.25">
      <c r="A421" s="1">
        <v>919</v>
      </c>
      <c r="B421" s="1">
        <v>-348.19059099999998</v>
      </c>
      <c r="C421" s="1">
        <v>17.814810999999999</v>
      </c>
      <c r="D421" s="1">
        <v>0</v>
      </c>
    </row>
    <row r="422" spans="1:4" x14ac:dyDescent="0.25">
      <c r="A422" s="1">
        <v>920</v>
      </c>
      <c r="B422" s="1">
        <v>-348.82713999999999</v>
      </c>
      <c r="C422" s="1">
        <v>17.028659999999999</v>
      </c>
      <c r="D422" s="1">
        <v>0</v>
      </c>
    </row>
    <row r="423" spans="1:4" x14ac:dyDescent="0.25">
      <c r="A423" s="1">
        <v>921</v>
      </c>
      <c r="B423" s="1">
        <v>-349.471969</v>
      </c>
      <c r="C423" s="1">
        <v>16.232282000000001</v>
      </c>
      <c r="D423" s="1">
        <v>0</v>
      </c>
    </row>
    <row r="424" spans="1:4" x14ac:dyDescent="0.25">
      <c r="A424" s="1">
        <v>922</v>
      </c>
      <c r="B424" s="1">
        <v>-350.10125699999998</v>
      </c>
      <c r="C424" s="1">
        <v>15.455098</v>
      </c>
      <c r="D424" s="1">
        <v>0</v>
      </c>
    </row>
    <row r="425" spans="1:4" x14ac:dyDescent="0.25">
      <c r="A425" s="1">
        <v>923</v>
      </c>
      <c r="B425" s="1">
        <v>-350.73054500000001</v>
      </c>
      <c r="C425" s="1">
        <v>14.677913999999999</v>
      </c>
      <c r="D425" s="1">
        <v>0</v>
      </c>
    </row>
    <row r="426" spans="1:4" x14ac:dyDescent="0.25">
      <c r="A426" s="1">
        <v>924</v>
      </c>
      <c r="B426" s="1">
        <v>-351.37882500000001</v>
      </c>
      <c r="C426" s="1">
        <v>13.877274999999999</v>
      </c>
      <c r="D426" s="1">
        <v>0</v>
      </c>
    </row>
    <row r="427" spans="1:4" x14ac:dyDescent="0.25">
      <c r="A427" s="1">
        <v>925</v>
      </c>
      <c r="B427" s="1">
        <v>-352.00812100000002</v>
      </c>
      <c r="C427" s="1">
        <v>13.100082</v>
      </c>
      <c r="D427" s="1">
        <v>0</v>
      </c>
    </row>
    <row r="428" spans="1:4" x14ac:dyDescent="0.25">
      <c r="A428" s="1">
        <v>926</v>
      </c>
      <c r="B428" s="1">
        <v>-352.637405</v>
      </c>
      <c r="C428" s="1">
        <v>12.322903</v>
      </c>
      <c r="D428" s="1">
        <v>0</v>
      </c>
    </row>
    <row r="429" spans="1:4" x14ac:dyDescent="0.25">
      <c r="A429" s="1">
        <v>927</v>
      </c>
      <c r="B429" s="1">
        <v>-353.285664</v>
      </c>
      <c r="C429" s="1">
        <v>11.52229</v>
      </c>
      <c r="D429" s="1">
        <v>0</v>
      </c>
    </row>
    <row r="430" spans="1:4" x14ac:dyDescent="0.25">
      <c r="A430" s="1">
        <v>928</v>
      </c>
      <c r="B430" s="1">
        <v>-353.91497299999997</v>
      </c>
      <c r="C430" s="1">
        <v>10.74508</v>
      </c>
      <c r="D430" s="1">
        <v>0</v>
      </c>
    </row>
    <row r="431" spans="1:4" x14ac:dyDescent="0.25">
      <c r="A431" s="1">
        <v>929</v>
      </c>
      <c r="B431" s="1">
        <v>-354.55433399999998</v>
      </c>
      <c r="C431" s="1">
        <v>9.9554559999999999</v>
      </c>
      <c r="D431" s="1">
        <v>0</v>
      </c>
    </row>
    <row r="432" spans="1:4" x14ac:dyDescent="0.25">
      <c r="A432" s="1">
        <v>930</v>
      </c>
      <c r="B432" s="1">
        <v>-355.18366700000001</v>
      </c>
      <c r="C432" s="1">
        <v>9.1782160000000008</v>
      </c>
      <c r="D432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57DB9-E8F8-4033-817F-D650B0DB2B88}">
  <sheetPr codeName="Foglio3">
    <tabColor rgb="FFFF0000"/>
  </sheetPr>
  <dimension ref="A1:H330"/>
  <sheetViews>
    <sheetView zoomScale="55" zoomScaleNormal="55" workbookViewId="0">
      <selection activeCell="X26" sqref="X26"/>
    </sheetView>
  </sheetViews>
  <sheetFormatPr defaultRowHeight="15" x14ac:dyDescent="0.25"/>
  <cols>
    <col min="1" max="1" width="9.140625" style="2"/>
    <col min="2" max="2" width="30" style="2" bestFit="1" customWidth="1"/>
    <col min="3" max="16384" width="9.140625" style="2"/>
  </cols>
  <sheetData>
    <row r="1" spans="1:8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</row>
    <row r="2" spans="1:8" x14ac:dyDescent="0.25">
      <c r="A2" s="15">
        <v>500</v>
      </c>
      <c r="B2" s="2" t="s">
        <v>28</v>
      </c>
      <c r="C2" s="3">
        <v>-0.19166800000000001</v>
      </c>
      <c r="D2" s="3">
        <v>-7.4706999999999996E-2</v>
      </c>
      <c r="E2" s="3">
        <v>0</v>
      </c>
      <c r="F2" s="3">
        <v>-6.0000000000000002E-6</v>
      </c>
      <c r="G2" s="3">
        <v>-2.8200000000000002E-4</v>
      </c>
      <c r="H2" s="3">
        <v>-1.8E-5</v>
      </c>
    </row>
    <row r="3" spans="1:8" x14ac:dyDescent="0.25">
      <c r="A3" s="15">
        <v>512</v>
      </c>
      <c r="B3" s="2" t="s">
        <v>28</v>
      </c>
      <c r="C3" s="3">
        <v>-0.17407700000000001</v>
      </c>
      <c r="D3" s="3">
        <v>-0.52600999999999998</v>
      </c>
      <c r="E3" s="3">
        <v>-3.2149960000000002</v>
      </c>
      <c r="F3" s="3">
        <v>-2.6600000000000001E-4</v>
      </c>
      <c r="G3" s="3">
        <v>-1.94E-4</v>
      </c>
      <c r="H3" s="3">
        <v>-7.9999999999999996E-6</v>
      </c>
    </row>
    <row r="4" spans="1:8" x14ac:dyDescent="0.25">
      <c r="A4" s="15">
        <v>524</v>
      </c>
      <c r="B4" s="2" t="s">
        <v>28</v>
      </c>
      <c r="C4" s="3">
        <v>-0.145653</v>
      </c>
      <c r="D4" s="3">
        <v>-0.77508100000000002</v>
      </c>
      <c r="E4" s="3">
        <v>-4.6157130000000004</v>
      </c>
      <c r="F4" s="3">
        <v>-4.2900000000000002E-4</v>
      </c>
      <c r="G4" s="3">
        <v>-5.8E-5</v>
      </c>
      <c r="H4" s="3">
        <v>-7.9999999999999996E-6</v>
      </c>
    </row>
    <row r="5" spans="1:8" x14ac:dyDescent="0.25">
      <c r="A5" s="15">
        <v>535</v>
      </c>
      <c r="B5" s="2" t="s">
        <v>28</v>
      </c>
      <c r="C5" s="3">
        <v>-0.110763</v>
      </c>
      <c r="D5" s="3">
        <v>-0.75149299999999997</v>
      </c>
      <c r="E5" s="3">
        <v>-3.8845369999999999</v>
      </c>
      <c r="F5" s="3">
        <v>-4.4900000000000002E-4</v>
      </c>
      <c r="G5" s="3">
        <v>-1.5E-5</v>
      </c>
      <c r="H5" s="3">
        <v>-1.5E-5</v>
      </c>
    </row>
    <row r="6" spans="1:8" x14ac:dyDescent="0.25">
      <c r="A6" s="15">
        <v>547</v>
      </c>
      <c r="B6" s="2" t="s">
        <v>28</v>
      </c>
      <c r="C6" s="3">
        <v>-9.0815000000000007E-2</v>
      </c>
      <c r="D6" s="3">
        <v>-0.426927</v>
      </c>
      <c r="E6" s="3">
        <v>-1.497369</v>
      </c>
      <c r="F6" s="3">
        <v>-1.7799999999999999E-4</v>
      </c>
      <c r="G6" s="3">
        <v>-1.6100000000000001E-4</v>
      </c>
      <c r="H6" s="3">
        <v>-3.4E-5</v>
      </c>
    </row>
    <row r="7" spans="1:8" x14ac:dyDescent="0.25">
      <c r="A7" s="15">
        <v>554</v>
      </c>
      <c r="B7" s="2" t="s">
        <v>28</v>
      </c>
      <c r="C7" s="3">
        <v>-0.15356</v>
      </c>
      <c r="D7" s="3">
        <v>-0.46101799999999998</v>
      </c>
      <c r="E7" s="3">
        <v>0</v>
      </c>
      <c r="F7" s="3">
        <v>-9.0000000000000002E-6</v>
      </c>
      <c r="G7" s="3">
        <v>-2.1599999999999999E-4</v>
      </c>
      <c r="H7" s="3">
        <v>-4.5000000000000003E-5</v>
      </c>
    </row>
    <row r="8" spans="1:8" x14ac:dyDescent="0.25">
      <c r="A8" s="15">
        <v>560</v>
      </c>
      <c r="B8" s="2" t="s">
        <v>28</v>
      </c>
      <c r="C8" s="3">
        <v>-0.188307</v>
      </c>
      <c r="D8" s="3">
        <v>-0.74436400000000003</v>
      </c>
      <c r="E8" s="3">
        <v>-1.4986809999999999</v>
      </c>
      <c r="F8" s="3">
        <v>-1.6699999999999999E-4</v>
      </c>
      <c r="G8" s="3">
        <v>-2.4499999999999999E-4</v>
      </c>
      <c r="H8" s="3">
        <v>-5.3999999999999998E-5</v>
      </c>
    </row>
    <row r="9" spans="1:8" x14ac:dyDescent="0.25">
      <c r="A9" s="15">
        <v>573</v>
      </c>
      <c r="B9" s="2" t="s">
        <v>28</v>
      </c>
      <c r="C9" s="3">
        <v>-0.117712</v>
      </c>
      <c r="D9" s="3">
        <v>-1.2403329999999999</v>
      </c>
      <c r="E9" s="3">
        <v>-4.3108149999999998</v>
      </c>
      <c r="F9" s="3">
        <v>-3.8900000000000002E-4</v>
      </c>
      <c r="G9" s="3">
        <v>-1.5699999999999999E-4</v>
      </c>
      <c r="H9" s="3">
        <v>-1.5999999999999999E-5</v>
      </c>
    </row>
    <row r="10" spans="1:8" x14ac:dyDescent="0.25">
      <c r="A10" s="15">
        <v>586</v>
      </c>
      <c r="B10" s="2" t="s">
        <v>28</v>
      </c>
      <c r="C10" s="3">
        <v>-0.14273</v>
      </c>
      <c r="D10" s="3">
        <v>-1.2377039999999999</v>
      </c>
      <c r="E10" s="3">
        <v>-5.4774719999999997</v>
      </c>
      <c r="F10" s="3">
        <v>-3.8200000000000002E-4</v>
      </c>
      <c r="G10" s="3">
        <v>-5.5999999999999999E-5</v>
      </c>
      <c r="H10" s="3">
        <v>-1.2E-5</v>
      </c>
    </row>
    <row r="11" spans="1:8" x14ac:dyDescent="0.25">
      <c r="A11" s="15">
        <v>599</v>
      </c>
      <c r="B11" s="2" t="s">
        <v>28</v>
      </c>
      <c r="C11" s="3">
        <v>-0.156389</v>
      </c>
      <c r="D11" s="3">
        <v>-1.1079730000000001</v>
      </c>
      <c r="E11" s="3">
        <v>-4.1943609999999998</v>
      </c>
      <c r="F11" s="3">
        <v>-3.9399999999999998E-4</v>
      </c>
      <c r="G11" s="3">
        <v>-7.2000000000000002E-5</v>
      </c>
      <c r="H11" s="3">
        <v>-1.9000000000000001E-5</v>
      </c>
    </row>
    <row r="12" spans="1:8" x14ac:dyDescent="0.25">
      <c r="A12" s="15">
        <v>612</v>
      </c>
      <c r="B12" s="2" t="s">
        <v>28</v>
      </c>
      <c r="C12" s="3">
        <v>-0.14668500000000001</v>
      </c>
      <c r="D12" s="3">
        <v>-0.52492399999999995</v>
      </c>
      <c r="E12" s="3">
        <v>-1.434744</v>
      </c>
      <c r="F12" s="3">
        <v>-1.4300000000000001E-4</v>
      </c>
      <c r="G12" s="3">
        <v>-1.5899999999999999E-4</v>
      </c>
      <c r="H12" s="3">
        <v>-2.4000000000000001E-5</v>
      </c>
    </row>
    <row r="13" spans="1:8" x14ac:dyDescent="0.25">
      <c r="A13" s="15">
        <v>619</v>
      </c>
      <c r="B13" s="2" t="s">
        <v>28</v>
      </c>
      <c r="C13" s="3">
        <v>-0.13614299999999999</v>
      </c>
      <c r="D13" s="3">
        <v>-0.26583499999999999</v>
      </c>
      <c r="E13" s="3">
        <v>0</v>
      </c>
      <c r="F13" s="3">
        <v>-3.8000000000000002E-5</v>
      </c>
      <c r="G13" s="3">
        <v>-2.05E-4</v>
      </c>
      <c r="H13" s="3">
        <v>-4.5000000000000003E-5</v>
      </c>
    </row>
    <row r="14" spans="1:8" x14ac:dyDescent="0.25">
      <c r="A14" s="15">
        <v>625</v>
      </c>
      <c r="B14" s="2" t="s">
        <v>28</v>
      </c>
      <c r="C14" s="3">
        <v>-0.16673399999999999</v>
      </c>
      <c r="D14" s="3">
        <v>-0.48664200000000002</v>
      </c>
      <c r="E14" s="3">
        <v>-1.4292579999999999</v>
      </c>
      <c r="F14" s="3">
        <v>-1.7100000000000001E-4</v>
      </c>
      <c r="G14" s="3">
        <v>-2.1800000000000001E-4</v>
      </c>
      <c r="H14" s="3">
        <v>-4.8999999999999998E-5</v>
      </c>
    </row>
    <row r="15" spans="1:8" x14ac:dyDescent="0.25">
      <c r="A15" s="15">
        <v>638</v>
      </c>
      <c r="B15" s="2" t="s">
        <v>28</v>
      </c>
      <c r="C15" s="3">
        <v>-0.11629</v>
      </c>
      <c r="D15" s="3">
        <v>-0.89549699999999999</v>
      </c>
      <c r="E15" s="3">
        <v>-4.1653719999999996</v>
      </c>
      <c r="F15" s="3">
        <v>-3.6999999999999999E-4</v>
      </c>
      <c r="G15" s="3">
        <v>-1.66E-4</v>
      </c>
      <c r="H15" s="3">
        <v>-1.5E-5</v>
      </c>
    </row>
    <row r="16" spans="1:8" x14ac:dyDescent="0.25">
      <c r="A16" s="15">
        <v>651</v>
      </c>
      <c r="B16" s="2" t="s">
        <v>28</v>
      </c>
      <c r="C16" s="3">
        <v>-0.12333</v>
      </c>
      <c r="D16" s="3">
        <v>-0.94378399999999996</v>
      </c>
      <c r="E16" s="3">
        <v>-5.4420919999999997</v>
      </c>
      <c r="F16" s="3">
        <v>-3.4200000000000002E-4</v>
      </c>
      <c r="G16" s="3">
        <v>-1.06E-4</v>
      </c>
      <c r="H16" s="3">
        <v>-1.2999999999999999E-5</v>
      </c>
    </row>
    <row r="17" spans="1:8" x14ac:dyDescent="0.25">
      <c r="A17" s="15">
        <v>664</v>
      </c>
      <c r="B17" s="2" t="s">
        <v>28</v>
      </c>
      <c r="C17" s="3">
        <v>-0.15660199999999999</v>
      </c>
      <c r="D17" s="3">
        <v>-0.88127500000000003</v>
      </c>
      <c r="E17" s="3">
        <v>-4.2684689999999996</v>
      </c>
      <c r="F17" s="3">
        <v>-3.4600000000000001E-4</v>
      </c>
      <c r="G17" s="3">
        <v>-1.1400000000000001E-4</v>
      </c>
      <c r="H17" s="3">
        <v>-1.7E-5</v>
      </c>
    </row>
    <row r="18" spans="1:8" x14ac:dyDescent="0.25">
      <c r="A18" s="15">
        <v>677</v>
      </c>
      <c r="B18" s="2" t="s">
        <v>28</v>
      </c>
      <c r="C18" s="3">
        <v>-0.15753400000000001</v>
      </c>
      <c r="D18" s="3">
        <v>-0.42751099999999997</v>
      </c>
      <c r="E18" s="3">
        <v>-1.4879089999999999</v>
      </c>
      <c r="F18" s="3">
        <v>-1.2300000000000001E-4</v>
      </c>
      <c r="G18" s="3">
        <v>-1.5699999999999999E-4</v>
      </c>
      <c r="H18" s="3">
        <v>-2.3E-5</v>
      </c>
    </row>
    <row r="19" spans="1:8" x14ac:dyDescent="0.25">
      <c r="A19" s="15">
        <v>684</v>
      </c>
      <c r="B19" s="2" t="s">
        <v>28</v>
      </c>
      <c r="C19" s="3">
        <v>-0.16286500000000001</v>
      </c>
      <c r="D19" s="3">
        <v>-0.23050899999999999</v>
      </c>
      <c r="E19" s="3">
        <v>0</v>
      </c>
      <c r="F19" s="3">
        <v>-7.2000000000000002E-5</v>
      </c>
      <c r="G19" s="3">
        <v>-2.05E-4</v>
      </c>
      <c r="H19" s="3">
        <v>-4.6E-5</v>
      </c>
    </row>
    <row r="20" spans="1:8" x14ac:dyDescent="0.25">
      <c r="A20" s="15">
        <v>690</v>
      </c>
      <c r="B20" s="2" t="s">
        <v>28</v>
      </c>
      <c r="C20" s="3">
        <v>-0.22513</v>
      </c>
      <c r="D20" s="3">
        <v>-0.49823600000000001</v>
      </c>
      <c r="E20" s="3">
        <v>-1.4855449999999999</v>
      </c>
      <c r="F20" s="3">
        <v>-1.6799999999999999E-4</v>
      </c>
      <c r="G20" s="3">
        <v>-2.05E-4</v>
      </c>
      <c r="H20" s="3">
        <v>-4.8000000000000001E-5</v>
      </c>
    </row>
    <row r="21" spans="1:8" x14ac:dyDescent="0.25">
      <c r="A21" s="15">
        <v>703</v>
      </c>
      <c r="B21" s="2" t="s">
        <v>28</v>
      </c>
      <c r="C21" s="3">
        <v>-0.14944499999999999</v>
      </c>
      <c r="D21" s="3">
        <v>-0.90651099999999996</v>
      </c>
      <c r="E21" s="3">
        <v>-4.3081550000000002</v>
      </c>
      <c r="F21" s="3">
        <v>-3.4600000000000001E-4</v>
      </c>
      <c r="G21" s="3">
        <v>-1.7699999999999999E-4</v>
      </c>
      <c r="H21" s="3">
        <v>-1.5E-5</v>
      </c>
    </row>
    <row r="22" spans="1:8" x14ac:dyDescent="0.25">
      <c r="A22" s="15">
        <v>716</v>
      </c>
      <c r="B22" s="2" t="s">
        <v>28</v>
      </c>
      <c r="C22" s="3">
        <v>-0.211259</v>
      </c>
      <c r="D22" s="3">
        <v>-0.92818100000000003</v>
      </c>
      <c r="E22" s="3">
        <v>-5.5399779999999996</v>
      </c>
      <c r="F22" s="3">
        <v>-3.2699999999999998E-4</v>
      </c>
      <c r="G22" s="3">
        <v>-1.54E-4</v>
      </c>
      <c r="H22" s="3">
        <v>-1.2E-5</v>
      </c>
    </row>
    <row r="23" spans="1:8" x14ac:dyDescent="0.25">
      <c r="A23" s="15">
        <v>729</v>
      </c>
      <c r="B23" s="2" t="s">
        <v>28</v>
      </c>
      <c r="C23" s="3">
        <v>-0.26143</v>
      </c>
      <c r="D23" s="3">
        <v>-0.86455400000000004</v>
      </c>
      <c r="E23" s="3">
        <v>-4.3059269999999996</v>
      </c>
      <c r="F23" s="3">
        <v>-3.3300000000000002E-4</v>
      </c>
      <c r="G23" s="3">
        <v>-1.6799999999999999E-4</v>
      </c>
      <c r="H23" s="3">
        <v>-1.7E-5</v>
      </c>
    </row>
    <row r="24" spans="1:8" x14ac:dyDescent="0.25">
      <c r="A24" s="15">
        <v>742</v>
      </c>
      <c r="B24" s="2" t="s">
        <v>28</v>
      </c>
      <c r="C24" s="3">
        <v>-0.25050099999999997</v>
      </c>
      <c r="D24" s="3">
        <v>-0.41444999999999999</v>
      </c>
      <c r="E24" s="3">
        <v>-1.4871589999999999</v>
      </c>
      <c r="F24" s="3">
        <v>-1.12E-4</v>
      </c>
      <c r="G24" s="3">
        <v>-1.4799999999999999E-4</v>
      </c>
      <c r="H24" s="3">
        <v>-2.3E-5</v>
      </c>
    </row>
    <row r="25" spans="1:8" x14ac:dyDescent="0.25">
      <c r="A25" s="15">
        <v>749</v>
      </c>
      <c r="B25" s="2" t="s">
        <v>28</v>
      </c>
      <c r="C25" s="3">
        <v>-0.22148499999999999</v>
      </c>
      <c r="D25" s="3">
        <v>-0.26796599999999998</v>
      </c>
      <c r="E25" s="3">
        <v>0</v>
      </c>
      <c r="F25" s="3">
        <v>-1.01E-4</v>
      </c>
      <c r="G25" s="3">
        <v>-1.95E-4</v>
      </c>
      <c r="H25" s="3">
        <v>-4.6E-5</v>
      </c>
    </row>
    <row r="26" spans="1:8" x14ac:dyDescent="0.25">
      <c r="A26" s="15">
        <v>755</v>
      </c>
      <c r="B26" s="2" t="s">
        <v>28</v>
      </c>
      <c r="C26" s="3">
        <v>-0.27177600000000002</v>
      </c>
      <c r="D26" s="3">
        <v>-0.52141700000000002</v>
      </c>
      <c r="E26" s="3">
        <v>-1.512065</v>
      </c>
      <c r="F26" s="3">
        <v>-1.7899999999999999E-4</v>
      </c>
      <c r="G26" s="3">
        <v>-1.9599999999999999E-4</v>
      </c>
      <c r="H26" s="3">
        <v>-4.8999999999999998E-5</v>
      </c>
    </row>
    <row r="27" spans="1:8" x14ac:dyDescent="0.25">
      <c r="A27" s="15">
        <v>768</v>
      </c>
      <c r="B27" s="2" t="s">
        <v>28</v>
      </c>
      <c r="C27" s="3">
        <v>-0.191022</v>
      </c>
      <c r="D27" s="3">
        <v>-0.89557699999999996</v>
      </c>
      <c r="E27" s="3">
        <v>-4.3509739999999999</v>
      </c>
      <c r="F27" s="3">
        <v>-3.2400000000000001E-4</v>
      </c>
      <c r="G27" s="3">
        <v>-1.8799999999999999E-4</v>
      </c>
      <c r="H27" s="3">
        <v>-1.5E-5</v>
      </c>
    </row>
    <row r="28" spans="1:8" x14ac:dyDescent="0.25">
      <c r="A28" s="15">
        <v>781</v>
      </c>
      <c r="B28" s="2" t="s">
        <v>28</v>
      </c>
      <c r="C28" s="3">
        <v>-0.28073199999999998</v>
      </c>
      <c r="D28" s="3">
        <v>-0.93486100000000005</v>
      </c>
      <c r="E28" s="3">
        <v>-5.5920430000000003</v>
      </c>
      <c r="F28" s="3">
        <v>-2.9999999999999997E-4</v>
      </c>
      <c r="G28" s="3">
        <v>-2.03E-4</v>
      </c>
      <c r="H28" s="3">
        <v>-1.2E-5</v>
      </c>
    </row>
    <row r="29" spans="1:8" x14ac:dyDescent="0.25">
      <c r="A29" s="15">
        <v>794</v>
      </c>
      <c r="B29" s="2" t="s">
        <v>28</v>
      </c>
      <c r="C29" s="3">
        <v>-0.33801399999999998</v>
      </c>
      <c r="D29" s="3">
        <v>-0.84157099999999996</v>
      </c>
      <c r="E29" s="3">
        <v>-4.3780039999999998</v>
      </c>
      <c r="F29" s="3">
        <v>-2.8600000000000001E-4</v>
      </c>
      <c r="G29" s="3">
        <v>-2.0699999999999999E-4</v>
      </c>
      <c r="H29" s="3">
        <v>-1.7E-5</v>
      </c>
    </row>
    <row r="30" spans="1:8" x14ac:dyDescent="0.25">
      <c r="A30" s="15">
        <v>807</v>
      </c>
      <c r="B30" s="2" t="s">
        <v>28</v>
      </c>
      <c r="C30" s="3">
        <v>-0.31541000000000002</v>
      </c>
      <c r="D30" s="3">
        <v>-0.44023299999999999</v>
      </c>
      <c r="E30" s="3">
        <v>-1.530794</v>
      </c>
      <c r="F30" s="3">
        <v>-1.4100000000000001E-4</v>
      </c>
      <c r="G30" s="3">
        <v>-1.6699999999999999E-4</v>
      </c>
      <c r="H30" s="3">
        <v>-2.4000000000000001E-5</v>
      </c>
    </row>
    <row r="31" spans="1:8" x14ac:dyDescent="0.25">
      <c r="A31" s="15">
        <v>814</v>
      </c>
      <c r="B31" s="2" t="s">
        <v>28</v>
      </c>
      <c r="C31" s="3">
        <v>-0.28264699999999998</v>
      </c>
      <c r="D31" s="3">
        <v>-0.39712900000000001</v>
      </c>
      <c r="E31" s="3">
        <v>0</v>
      </c>
      <c r="F31" s="3">
        <v>-1.3300000000000001E-4</v>
      </c>
      <c r="G31" s="3">
        <v>-1.83E-4</v>
      </c>
      <c r="H31" s="3">
        <v>-4.6E-5</v>
      </c>
    </row>
    <row r="32" spans="1:8" x14ac:dyDescent="0.25">
      <c r="A32" s="15">
        <v>821</v>
      </c>
      <c r="B32" s="2" t="s">
        <v>28</v>
      </c>
      <c r="C32" s="3">
        <v>-0.31093199999999999</v>
      </c>
      <c r="D32" s="3">
        <v>-0.61826099999999995</v>
      </c>
      <c r="E32" s="3">
        <v>-1.550751</v>
      </c>
      <c r="F32" s="3">
        <v>-1.76E-4</v>
      </c>
      <c r="G32" s="3">
        <v>-1.84E-4</v>
      </c>
      <c r="H32" s="3">
        <v>-5.3000000000000001E-5</v>
      </c>
    </row>
    <row r="33" spans="1:8" x14ac:dyDescent="0.25">
      <c r="A33" s="15">
        <v>834</v>
      </c>
      <c r="B33" s="2" t="s">
        <v>28</v>
      </c>
      <c r="C33" s="3">
        <v>-0.23782800000000001</v>
      </c>
      <c r="D33" s="3">
        <v>-0.89587399999999995</v>
      </c>
      <c r="E33" s="3">
        <v>-4.4264619999999999</v>
      </c>
      <c r="F33" s="3">
        <v>-2.72E-4</v>
      </c>
      <c r="G33" s="3">
        <v>-2.0100000000000001E-4</v>
      </c>
      <c r="H33" s="3">
        <v>-1.5999999999999999E-5</v>
      </c>
    </row>
    <row r="34" spans="1:8" x14ac:dyDescent="0.25">
      <c r="A34" s="15">
        <v>847</v>
      </c>
      <c r="B34" s="2" t="s">
        <v>28</v>
      </c>
      <c r="C34" s="3">
        <v>-0.29459099999999999</v>
      </c>
      <c r="D34" s="3">
        <v>-0.86209199999999997</v>
      </c>
      <c r="E34" s="3">
        <v>-5.60785</v>
      </c>
      <c r="F34" s="3">
        <v>-2.5399999999999999E-4</v>
      </c>
      <c r="G34" s="3">
        <v>-2.2499999999999999E-4</v>
      </c>
      <c r="H34" s="3">
        <v>-1.2999999999999999E-5</v>
      </c>
    </row>
    <row r="35" spans="1:8" x14ac:dyDescent="0.25">
      <c r="A35" s="15">
        <v>860</v>
      </c>
      <c r="B35" s="2" t="s">
        <v>28</v>
      </c>
      <c r="C35" s="3">
        <v>-0.37581700000000001</v>
      </c>
      <c r="D35" s="3">
        <v>-0.80795600000000001</v>
      </c>
      <c r="E35" s="3">
        <v>-4.2608079999999999</v>
      </c>
      <c r="F35" s="3">
        <v>-2.5799999999999998E-4</v>
      </c>
      <c r="G35" s="3">
        <v>-2.4899999999999998E-4</v>
      </c>
      <c r="H35" s="3">
        <v>-1.9000000000000001E-5</v>
      </c>
    </row>
    <row r="36" spans="1:8" x14ac:dyDescent="0.25">
      <c r="A36" s="15">
        <v>873</v>
      </c>
      <c r="B36" s="2" t="s">
        <v>28</v>
      </c>
      <c r="C36" s="3">
        <v>-0.34464400000000001</v>
      </c>
      <c r="D36" s="3">
        <v>-0.37934299999999999</v>
      </c>
      <c r="E36" s="3">
        <v>-1.442685</v>
      </c>
      <c r="F36" s="3">
        <v>-1.54E-4</v>
      </c>
      <c r="G36" s="3">
        <v>-1.6799999999999999E-4</v>
      </c>
      <c r="H36" s="3">
        <v>-2.1999999999999999E-5</v>
      </c>
    </row>
    <row r="37" spans="1:8" x14ac:dyDescent="0.25">
      <c r="A37" s="15">
        <v>879</v>
      </c>
      <c r="B37" s="2" t="s">
        <v>28</v>
      </c>
      <c r="C37" s="3">
        <v>-0.32102199999999997</v>
      </c>
      <c r="D37" s="3">
        <v>-0.28233799999999998</v>
      </c>
      <c r="E37" s="3">
        <v>0</v>
      </c>
      <c r="F37" s="3">
        <v>-1.47E-4</v>
      </c>
      <c r="G37" s="3">
        <v>-1.3100000000000001E-4</v>
      </c>
      <c r="H37" s="3">
        <v>-4.5000000000000003E-5</v>
      </c>
    </row>
    <row r="38" spans="1:8" x14ac:dyDescent="0.25">
      <c r="A38" s="15">
        <v>886</v>
      </c>
      <c r="B38" s="2" t="s">
        <v>28</v>
      </c>
      <c r="C38" s="3">
        <v>-0.32990700000000001</v>
      </c>
      <c r="D38" s="3">
        <v>-0.42149399999999998</v>
      </c>
      <c r="E38" s="3">
        <v>-1.2587269999999999</v>
      </c>
      <c r="F38" s="3">
        <v>-1.66E-4</v>
      </c>
      <c r="G38" s="3">
        <v>-1.34E-4</v>
      </c>
      <c r="H38" s="3">
        <v>-5.0000000000000002E-5</v>
      </c>
    </row>
    <row r="39" spans="1:8" x14ac:dyDescent="0.25">
      <c r="A39" s="15">
        <v>897</v>
      </c>
      <c r="B39" s="2" t="s">
        <v>28</v>
      </c>
      <c r="C39" s="3">
        <v>-0.42735600000000001</v>
      </c>
      <c r="D39" s="3">
        <v>-0.64643200000000001</v>
      </c>
      <c r="E39" s="3">
        <v>-3.258937</v>
      </c>
      <c r="F39" s="3">
        <v>-2.42E-4</v>
      </c>
      <c r="G39" s="3">
        <v>-2.52E-4</v>
      </c>
      <c r="H39" s="3">
        <v>-2.4000000000000001E-5</v>
      </c>
    </row>
    <row r="40" spans="1:8" x14ac:dyDescent="0.25">
      <c r="A40" s="15">
        <v>907</v>
      </c>
      <c r="B40" s="2" t="s">
        <v>28</v>
      </c>
      <c r="C40" s="3">
        <v>-0.62486600000000003</v>
      </c>
      <c r="D40" s="3">
        <v>-0.65214399999999995</v>
      </c>
      <c r="E40" s="3">
        <v>-3.8604500000000002</v>
      </c>
      <c r="F40" s="3">
        <v>-2.04E-4</v>
      </c>
      <c r="G40" s="3">
        <v>-2.61E-4</v>
      </c>
      <c r="H40" s="3">
        <v>-2.6999999999999999E-5</v>
      </c>
    </row>
    <row r="41" spans="1:8" x14ac:dyDescent="0.25">
      <c r="A41" s="15">
        <v>918</v>
      </c>
      <c r="B41" s="2" t="s">
        <v>28</v>
      </c>
      <c r="C41" s="3">
        <v>-0.80910400000000005</v>
      </c>
      <c r="D41" s="3">
        <v>-0.54134899999999997</v>
      </c>
      <c r="E41" s="3">
        <v>-2.7043439999999999</v>
      </c>
      <c r="F41" s="3">
        <v>-1.56E-4</v>
      </c>
      <c r="G41" s="3">
        <v>-1.7899999999999999E-4</v>
      </c>
      <c r="H41" s="3">
        <v>-2.9E-5</v>
      </c>
    </row>
    <row r="42" spans="1:8" ht="15.75" thickBot="1" x14ac:dyDescent="0.3">
      <c r="A42" s="17">
        <v>930</v>
      </c>
      <c r="B42" s="18" t="s">
        <v>28</v>
      </c>
      <c r="C42" s="20">
        <v>-1.000586</v>
      </c>
      <c r="D42" s="20">
        <v>-0.33044400000000002</v>
      </c>
      <c r="E42" s="20">
        <v>0</v>
      </c>
      <c r="F42" s="20">
        <v>-1.84E-4</v>
      </c>
      <c r="G42" s="20">
        <v>-5.8999999999999998E-5</v>
      </c>
      <c r="H42" s="20">
        <v>-3.0000000000000001E-5</v>
      </c>
    </row>
    <row r="43" spans="1:8" ht="15.75" thickTop="1" x14ac:dyDescent="0.25">
      <c r="A43" s="16">
        <f>A2</f>
        <v>500</v>
      </c>
      <c r="B43" s="2" t="s">
        <v>29</v>
      </c>
      <c r="C43" s="3">
        <v>-0.27385799999999999</v>
      </c>
      <c r="D43" s="3">
        <v>-1.4147E-2</v>
      </c>
      <c r="E43" s="3">
        <v>0</v>
      </c>
      <c r="F43" s="3">
        <v>-6.9999999999999999E-6</v>
      </c>
      <c r="G43" s="3">
        <v>-3.1799999999999998E-4</v>
      </c>
      <c r="H43" s="3">
        <v>-2.3E-5</v>
      </c>
    </row>
    <row r="44" spans="1:8" x14ac:dyDescent="0.25">
      <c r="A44" s="9">
        <f t="shared" ref="A44:A107" si="0">A3</f>
        <v>512</v>
      </c>
      <c r="B44" s="2" t="s">
        <v>29</v>
      </c>
      <c r="C44" s="3">
        <v>-0.237624</v>
      </c>
      <c r="D44" s="3">
        <v>-0.67027199999999998</v>
      </c>
      <c r="E44" s="3">
        <v>-3.5887669999999998</v>
      </c>
      <c r="F44" s="3">
        <v>-4.5100000000000001E-4</v>
      </c>
      <c r="G44" s="3">
        <v>-2.0799999999999999E-4</v>
      </c>
      <c r="H44" s="3">
        <v>-1.5999999999999999E-5</v>
      </c>
    </row>
    <row r="45" spans="1:8" x14ac:dyDescent="0.25">
      <c r="A45" s="9">
        <f t="shared" si="0"/>
        <v>524</v>
      </c>
      <c r="B45" s="2" t="s">
        <v>29</v>
      </c>
      <c r="C45" s="3">
        <v>-0.16320499999999999</v>
      </c>
      <c r="D45" s="3">
        <v>-1.0224569999999999</v>
      </c>
      <c r="E45" s="3">
        <v>-5.0933409999999997</v>
      </c>
      <c r="F45" s="3">
        <v>-7.2800000000000002E-4</v>
      </c>
      <c r="G45" s="3">
        <v>-4.8000000000000001E-5</v>
      </c>
      <c r="H45" s="3">
        <v>-1.2E-5</v>
      </c>
    </row>
    <row r="46" spans="1:8" x14ac:dyDescent="0.25">
      <c r="A46" s="9">
        <f t="shared" si="0"/>
        <v>535</v>
      </c>
      <c r="B46" s="2" t="s">
        <v>29</v>
      </c>
      <c r="C46" s="3">
        <v>-0.116343</v>
      </c>
      <c r="D46" s="3">
        <v>-1.1124860000000001</v>
      </c>
      <c r="E46" s="3">
        <v>-4.5693010000000003</v>
      </c>
      <c r="F46" s="3">
        <v>-7.5799999999999999E-4</v>
      </c>
      <c r="G46" s="3">
        <v>-1.9000000000000001E-5</v>
      </c>
      <c r="H46" s="3">
        <v>-1.0000000000000001E-5</v>
      </c>
    </row>
    <row r="47" spans="1:8" x14ac:dyDescent="0.25">
      <c r="A47" s="9">
        <f t="shared" si="0"/>
        <v>547</v>
      </c>
      <c r="B47" s="2" t="s">
        <v>29</v>
      </c>
      <c r="C47" s="3">
        <v>-0.107138</v>
      </c>
      <c r="D47" s="3">
        <v>-0.986205</v>
      </c>
      <c r="E47" s="3">
        <v>-1.910407</v>
      </c>
      <c r="F47" s="3">
        <v>-3.01E-4</v>
      </c>
      <c r="G47" s="3">
        <v>-1.9599999999999999E-4</v>
      </c>
      <c r="H47" s="3">
        <v>-5.5999999999999999E-5</v>
      </c>
    </row>
    <row r="48" spans="1:8" x14ac:dyDescent="0.25">
      <c r="A48" s="9">
        <f t="shared" si="0"/>
        <v>554</v>
      </c>
      <c r="B48" s="2" t="s">
        <v>29</v>
      </c>
      <c r="C48" s="3">
        <v>-0.20254</v>
      </c>
      <c r="D48" s="3">
        <v>-0.78065499999999999</v>
      </c>
      <c r="E48" s="3">
        <v>0</v>
      </c>
      <c r="F48" s="3">
        <v>-1.0000000000000001E-5</v>
      </c>
      <c r="G48" s="3">
        <v>-2.6899999999999998E-4</v>
      </c>
      <c r="H48" s="3">
        <v>-7.6000000000000004E-5</v>
      </c>
    </row>
    <row r="49" spans="1:8" x14ac:dyDescent="0.25">
      <c r="A49" s="9">
        <f t="shared" si="0"/>
        <v>560</v>
      </c>
      <c r="B49" s="2" t="s">
        <v>29</v>
      </c>
      <c r="C49" s="3">
        <v>-0.25720300000000001</v>
      </c>
      <c r="D49" s="3">
        <v>-1.1877530000000001</v>
      </c>
      <c r="E49" s="3">
        <v>-1.879556</v>
      </c>
      <c r="F49" s="3">
        <v>-3.9100000000000002E-4</v>
      </c>
      <c r="G49" s="3">
        <v>-3.1100000000000002E-4</v>
      </c>
      <c r="H49" s="3">
        <v>-8.2000000000000001E-5</v>
      </c>
    </row>
    <row r="50" spans="1:8" x14ac:dyDescent="0.25">
      <c r="A50" s="9">
        <f t="shared" si="0"/>
        <v>573</v>
      </c>
      <c r="B50" s="2" t="s">
        <v>29</v>
      </c>
      <c r="C50" s="3">
        <v>-0.19986400000000001</v>
      </c>
      <c r="D50" s="3">
        <v>-1.797372</v>
      </c>
      <c r="E50" s="3">
        <v>-5.4007579999999997</v>
      </c>
      <c r="F50" s="3">
        <v>-1.003E-3</v>
      </c>
      <c r="G50" s="3">
        <v>-2.1100000000000001E-4</v>
      </c>
      <c r="H50" s="3">
        <v>-3.4E-5</v>
      </c>
    </row>
    <row r="51" spans="1:8" x14ac:dyDescent="0.25">
      <c r="A51" s="9">
        <f t="shared" si="0"/>
        <v>586</v>
      </c>
      <c r="B51" s="2" t="s">
        <v>29</v>
      </c>
      <c r="C51" s="3">
        <v>-0.239562</v>
      </c>
      <c r="D51" s="3">
        <v>-1.803048</v>
      </c>
      <c r="E51" s="3">
        <v>-6.8459079999999997</v>
      </c>
      <c r="F51" s="3">
        <v>-1.1299999999999999E-3</v>
      </c>
      <c r="G51" s="3">
        <v>-1.1400000000000001E-4</v>
      </c>
      <c r="H51" s="3">
        <v>-2.5999999999999998E-5</v>
      </c>
    </row>
    <row r="52" spans="1:8" x14ac:dyDescent="0.25">
      <c r="A52" s="9">
        <f t="shared" si="0"/>
        <v>599</v>
      </c>
      <c r="B52" s="2" t="s">
        <v>29</v>
      </c>
      <c r="C52" s="3">
        <v>-0.26248500000000002</v>
      </c>
      <c r="D52" s="3">
        <v>-1.5771729999999999</v>
      </c>
      <c r="E52" s="3">
        <v>-5.6471400000000003</v>
      </c>
      <c r="F52" s="3">
        <v>-9.5799999999999998E-4</v>
      </c>
      <c r="G52" s="3">
        <v>-2.02E-4</v>
      </c>
      <c r="H52" s="3">
        <v>-2.1999999999999999E-5</v>
      </c>
    </row>
    <row r="53" spans="1:8" x14ac:dyDescent="0.25">
      <c r="A53" s="9">
        <f t="shared" si="0"/>
        <v>612</v>
      </c>
      <c r="B53" s="2" t="s">
        <v>29</v>
      </c>
      <c r="C53" s="3">
        <v>-0.26792700000000003</v>
      </c>
      <c r="D53" s="3">
        <v>-0.98972700000000002</v>
      </c>
      <c r="E53" s="3">
        <v>-2.098992</v>
      </c>
      <c r="F53" s="3">
        <v>-3.1799999999999998E-4</v>
      </c>
      <c r="G53" s="3">
        <v>-2.6899999999999998E-4</v>
      </c>
      <c r="H53" s="3">
        <v>-5.1999999999999997E-5</v>
      </c>
    </row>
    <row r="54" spans="1:8" x14ac:dyDescent="0.25">
      <c r="A54" s="9">
        <f t="shared" si="0"/>
        <v>619</v>
      </c>
      <c r="B54" s="2" t="s">
        <v>29</v>
      </c>
      <c r="C54" s="3">
        <v>-0.28957500000000003</v>
      </c>
      <c r="D54" s="3">
        <v>-0.69481400000000004</v>
      </c>
      <c r="E54" s="3">
        <v>0</v>
      </c>
      <c r="F54" s="3">
        <v>-5.3999999999999998E-5</v>
      </c>
      <c r="G54" s="3">
        <v>-3.1399999999999999E-4</v>
      </c>
      <c r="H54" s="3">
        <v>-6.7999999999999999E-5</v>
      </c>
    </row>
    <row r="55" spans="1:8" x14ac:dyDescent="0.25">
      <c r="A55" s="9">
        <f t="shared" si="0"/>
        <v>625</v>
      </c>
      <c r="B55" s="2" t="s">
        <v>29</v>
      </c>
      <c r="C55" s="3">
        <v>-0.321241</v>
      </c>
      <c r="D55" s="3">
        <v>-0.96511199999999997</v>
      </c>
      <c r="E55" s="3">
        <v>-2.1229480000000001</v>
      </c>
      <c r="F55" s="3">
        <v>-4.1100000000000002E-4</v>
      </c>
      <c r="G55" s="3">
        <v>-3.3700000000000001E-4</v>
      </c>
      <c r="H55" s="3">
        <v>-7.3999999999999996E-5</v>
      </c>
    </row>
    <row r="56" spans="1:8" x14ac:dyDescent="0.25">
      <c r="A56" s="9">
        <f t="shared" si="0"/>
        <v>638</v>
      </c>
      <c r="B56" s="2" t="s">
        <v>29</v>
      </c>
      <c r="C56" s="3">
        <v>-0.22567100000000001</v>
      </c>
      <c r="D56" s="3">
        <v>-1.2840020000000001</v>
      </c>
      <c r="E56" s="3">
        <v>-5.8304739999999997</v>
      </c>
      <c r="F56" s="3">
        <v>-9.8400000000000007E-4</v>
      </c>
      <c r="G56" s="3">
        <v>-2.3800000000000001E-4</v>
      </c>
      <c r="H56" s="3">
        <v>-3.8000000000000002E-5</v>
      </c>
    </row>
    <row r="57" spans="1:8" x14ac:dyDescent="0.25">
      <c r="A57" s="9">
        <f t="shared" si="0"/>
        <v>651</v>
      </c>
      <c r="B57" s="2" t="s">
        <v>29</v>
      </c>
      <c r="C57" s="3">
        <v>-0.28192</v>
      </c>
      <c r="D57" s="3">
        <v>-1.3862570000000001</v>
      </c>
      <c r="E57" s="3">
        <v>-7.2897350000000003</v>
      </c>
      <c r="F57" s="3">
        <v>-1.126E-3</v>
      </c>
      <c r="G57" s="3">
        <v>-2.8499999999999999E-4</v>
      </c>
      <c r="H57" s="3">
        <v>-3.1999999999999999E-5</v>
      </c>
    </row>
    <row r="58" spans="1:8" x14ac:dyDescent="0.25">
      <c r="A58" s="9">
        <f t="shared" si="0"/>
        <v>664</v>
      </c>
      <c r="B58" s="2" t="s">
        <v>29</v>
      </c>
      <c r="C58" s="3">
        <v>-0.33213199999999998</v>
      </c>
      <c r="D58" s="3">
        <v>-1.2753399999999999</v>
      </c>
      <c r="E58" s="3">
        <v>-5.9908780000000004</v>
      </c>
      <c r="F58" s="3">
        <v>-9.2800000000000001E-4</v>
      </c>
      <c r="G58" s="3">
        <v>-3.5300000000000002E-4</v>
      </c>
      <c r="H58" s="3">
        <v>-2.9E-5</v>
      </c>
    </row>
    <row r="59" spans="1:8" x14ac:dyDescent="0.25">
      <c r="A59" s="9">
        <f t="shared" si="0"/>
        <v>677</v>
      </c>
      <c r="B59" s="2" t="s">
        <v>29</v>
      </c>
      <c r="C59" s="3">
        <v>-0.37087399999999998</v>
      </c>
      <c r="D59" s="3">
        <v>-0.86180199999999996</v>
      </c>
      <c r="E59" s="3">
        <v>-2.226766</v>
      </c>
      <c r="F59" s="3">
        <v>-2.9399999999999999E-4</v>
      </c>
      <c r="G59" s="3">
        <v>-3.4299999999999999E-4</v>
      </c>
      <c r="H59" s="3">
        <v>-5.5000000000000002E-5</v>
      </c>
    </row>
    <row r="60" spans="1:8" x14ac:dyDescent="0.25">
      <c r="A60" s="9">
        <f t="shared" si="0"/>
        <v>684</v>
      </c>
      <c r="B60" s="2" t="s">
        <v>29</v>
      </c>
      <c r="C60" s="3">
        <v>-0.36246600000000001</v>
      </c>
      <c r="D60" s="3">
        <v>-0.58716100000000004</v>
      </c>
      <c r="E60" s="3">
        <v>0</v>
      </c>
      <c r="F60" s="3">
        <v>-1.05E-4</v>
      </c>
      <c r="G60" s="3">
        <v>-3.19E-4</v>
      </c>
      <c r="H60" s="3">
        <v>-7.3999999999999996E-5</v>
      </c>
    </row>
    <row r="61" spans="1:8" x14ac:dyDescent="0.25">
      <c r="A61" s="9">
        <f t="shared" si="0"/>
        <v>690</v>
      </c>
      <c r="B61" s="2" t="s">
        <v>29</v>
      </c>
      <c r="C61" s="3">
        <v>-0.36756</v>
      </c>
      <c r="D61" s="3">
        <v>-0.95035499999999995</v>
      </c>
      <c r="E61" s="3">
        <v>-2.2335379999999998</v>
      </c>
      <c r="F61" s="3">
        <v>-4.28E-4</v>
      </c>
      <c r="G61" s="3">
        <v>-3.4200000000000002E-4</v>
      </c>
      <c r="H61" s="3">
        <v>-7.7000000000000001E-5</v>
      </c>
    </row>
    <row r="62" spans="1:8" x14ac:dyDescent="0.25">
      <c r="A62" s="9">
        <f t="shared" si="0"/>
        <v>703</v>
      </c>
      <c r="B62" s="2" t="s">
        <v>29</v>
      </c>
      <c r="C62" s="3">
        <v>-0.46579100000000001</v>
      </c>
      <c r="D62" s="3">
        <v>-1.3206070000000001</v>
      </c>
      <c r="E62" s="3">
        <v>-6.0744949999999998</v>
      </c>
      <c r="F62" s="3">
        <v>-9.5799999999999998E-4</v>
      </c>
      <c r="G62" s="3">
        <v>-2.8400000000000002E-4</v>
      </c>
      <c r="H62" s="3">
        <v>-3.4999999999999997E-5</v>
      </c>
    </row>
    <row r="63" spans="1:8" x14ac:dyDescent="0.25">
      <c r="A63" s="9">
        <f t="shared" si="0"/>
        <v>716</v>
      </c>
      <c r="B63" s="2" t="s">
        <v>29</v>
      </c>
      <c r="C63" s="3">
        <v>-0.55645199999999995</v>
      </c>
      <c r="D63" s="3">
        <v>-1.377291</v>
      </c>
      <c r="E63" s="3">
        <v>-7.4653520000000002</v>
      </c>
      <c r="F63" s="3">
        <v>-1.065E-3</v>
      </c>
      <c r="G63" s="3">
        <v>-4.5600000000000003E-4</v>
      </c>
      <c r="H63" s="3">
        <v>-2.9E-5</v>
      </c>
    </row>
    <row r="64" spans="1:8" x14ac:dyDescent="0.25">
      <c r="A64" s="9">
        <f t="shared" si="0"/>
        <v>729</v>
      </c>
      <c r="B64" s="2" t="s">
        <v>29</v>
      </c>
      <c r="C64" s="3">
        <v>-0.61383600000000005</v>
      </c>
      <c r="D64" s="3">
        <v>-1.2568760000000001</v>
      </c>
      <c r="E64" s="3">
        <v>-6.0719849999999997</v>
      </c>
      <c r="F64" s="3">
        <v>-8.7299999999999997E-4</v>
      </c>
      <c r="G64" s="3">
        <v>-5.0199999999999995E-4</v>
      </c>
      <c r="H64" s="3">
        <v>-2.5999999999999998E-5</v>
      </c>
    </row>
    <row r="65" spans="1:8" x14ac:dyDescent="0.25">
      <c r="A65" s="9">
        <f t="shared" si="0"/>
        <v>742</v>
      </c>
      <c r="B65" s="2" t="s">
        <v>29</v>
      </c>
      <c r="C65" s="3">
        <v>-0.59327099999999999</v>
      </c>
      <c r="D65" s="3">
        <v>-0.902702</v>
      </c>
      <c r="E65" s="3">
        <v>-2.231217</v>
      </c>
      <c r="F65" s="3">
        <v>-2.2499999999999999E-4</v>
      </c>
      <c r="G65" s="3">
        <v>-3.8200000000000002E-4</v>
      </c>
      <c r="H65" s="3">
        <v>-5.3000000000000001E-5</v>
      </c>
    </row>
    <row r="66" spans="1:8" x14ac:dyDescent="0.25">
      <c r="A66" s="9">
        <f t="shared" si="0"/>
        <v>749</v>
      </c>
      <c r="B66" s="2" t="s">
        <v>29</v>
      </c>
      <c r="C66" s="3">
        <v>-0.543597</v>
      </c>
      <c r="D66" s="3">
        <v>-0.62653400000000004</v>
      </c>
      <c r="E66" s="3">
        <v>0</v>
      </c>
      <c r="F66" s="3">
        <v>-1.5100000000000001E-4</v>
      </c>
      <c r="G66" s="3">
        <v>-2.99E-4</v>
      </c>
      <c r="H66" s="3">
        <v>-7.2000000000000002E-5</v>
      </c>
    </row>
    <row r="67" spans="1:8" x14ac:dyDescent="0.25">
      <c r="A67" s="9">
        <f t="shared" si="0"/>
        <v>755</v>
      </c>
      <c r="B67" s="2" t="s">
        <v>29</v>
      </c>
      <c r="C67" s="3">
        <v>-0.51520999999999995</v>
      </c>
      <c r="D67" s="3">
        <v>-0.95737700000000003</v>
      </c>
      <c r="E67" s="3">
        <v>-2.2441369999999998</v>
      </c>
      <c r="F67" s="3">
        <v>-4.46E-4</v>
      </c>
      <c r="G67" s="3">
        <v>-3.2200000000000002E-4</v>
      </c>
      <c r="H67" s="3">
        <v>-7.4999999999999993E-5</v>
      </c>
    </row>
    <row r="68" spans="1:8" x14ac:dyDescent="0.25">
      <c r="A68" s="9">
        <f t="shared" si="0"/>
        <v>768</v>
      </c>
      <c r="B68" s="2" t="s">
        <v>29</v>
      </c>
      <c r="C68" s="3">
        <v>-0.75123200000000001</v>
      </c>
      <c r="D68" s="3">
        <v>-1.2858540000000001</v>
      </c>
      <c r="E68" s="3">
        <v>-6.0466290000000003</v>
      </c>
      <c r="F68" s="3">
        <v>-8.8199999999999997E-4</v>
      </c>
      <c r="G68" s="3">
        <v>-4.0900000000000002E-4</v>
      </c>
      <c r="H68" s="3">
        <v>-3.4E-5</v>
      </c>
    </row>
    <row r="69" spans="1:8" x14ac:dyDescent="0.25">
      <c r="A69" s="9">
        <f t="shared" si="0"/>
        <v>781</v>
      </c>
      <c r="B69" s="2" t="s">
        <v>29</v>
      </c>
      <c r="C69" s="3">
        <v>-0.82624799999999998</v>
      </c>
      <c r="D69" s="3">
        <v>-1.368708</v>
      </c>
      <c r="E69" s="3">
        <v>-7.3986000000000001</v>
      </c>
      <c r="F69" s="3">
        <v>-9.7300000000000002E-4</v>
      </c>
      <c r="G69" s="3">
        <v>-6.0499999999999996E-4</v>
      </c>
      <c r="H69" s="3">
        <v>-2.9E-5</v>
      </c>
    </row>
    <row r="70" spans="1:8" x14ac:dyDescent="0.25">
      <c r="A70" s="9">
        <f t="shared" si="0"/>
        <v>794</v>
      </c>
      <c r="B70" s="2" t="s">
        <v>29</v>
      </c>
      <c r="C70" s="3">
        <v>-0.83306400000000003</v>
      </c>
      <c r="D70" s="3">
        <v>-1.288041</v>
      </c>
      <c r="E70" s="3">
        <v>-5.9780340000000001</v>
      </c>
      <c r="F70" s="3">
        <v>-7.5100000000000004E-4</v>
      </c>
      <c r="G70" s="3">
        <v>-6.0599999999999998E-4</v>
      </c>
      <c r="H70" s="3">
        <v>-2.5999999999999998E-5</v>
      </c>
    </row>
    <row r="71" spans="1:8" x14ac:dyDescent="0.25">
      <c r="A71" s="9">
        <f t="shared" si="0"/>
        <v>807</v>
      </c>
      <c r="B71" s="2" t="s">
        <v>29</v>
      </c>
      <c r="C71" s="3">
        <v>-0.76755200000000001</v>
      </c>
      <c r="D71" s="3">
        <v>-1.0866119999999999</v>
      </c>
      <c r="E71" s="3">
        <v>-2.17584</v>
      </c>
      <c r="F71" s="3">
        <v>-2.2000000000000001E-4</v>
      </c>
      <c r="G71" s="3">
        <v>-4.0900000000000002E-4</v>
      </c>
      <c r="H71" s="3">
        <v>-5.1999999999999997E-5</v>
      </c>
    </row>
    <row r="72" spans="1:8" x14ac:dyDescent="0.25">
      <c r="A72" s="9">
        <f t="shared" si="0"/>
        <v>814</v>
      </c>
      <c r="B72" s="2" t="s">
        <v>29</v>
      </c>
      <c r="C72" s="3">
        <v>-0.70033299999999998</v>
      </c>
      <c r="D72" s="3">
        <v>-0.86348400000000003</v>
      </c>
      <c r="E72" s="3">
        <v>0</v>
      </c>
      <c r="F72" s="3">
        <v>-1.8699999999999999E-4</v>
      </c>
      <c r="G72" s="3">
        <v>-2.61E-4</v>
      </c>
      <c r="H72" s="3">
        <v>-7.1000000000000005E-5</v>
      </c>
    </row>
    <row r="73" spans="1:8" x14ac:dyDescent="0.25">
      <c r="A73" s="9">
        <f t="shared" si="0"/>
        <v>821</v>
      </c>
      <c r="B73" s="2" t="s">
        <v>29</v>
      </c>
      <c r="C73" s="3">
        <v>-0.69015800000000005</v>
      </c>
      <c r="D73" s="3">
        <v>-1.1895260000000001</v>
      </c>
      <c r="E73" s="3">
        <v>-2.153524</v>
      </c>
      <c r="F73" s="3">
        <v>-4.1300000000000001E-4</v>
      </c>
      <c r="G73" s="3">
        <v>-2.8299999999999999E-4</v>
      </c>
      <c r="H73" s="3">
        <v>-7.6000000000000004E-5</v>
      </c>
    </row>
    <row r="74" spans="1:8" x14ac:dyDescent="0.25">
      <c r="A74" s="9">
        <f t="shared" si="0"/>
        <v>834</v>
      </c>
      <c r="B74" s="2" t="s">
        <v>29</v>
      </c>
      <c r="C74" s="3">
        <v>-0.90423600000000004</v>
      </c>
      <c r="D74" s="3">
        <v>-1.410263</v>
      </c>
      <c r="E74" s="3">
        <v>-5.7080570000000002</v>
      </c>
      <c r="F74" s="3">
        <v>-7.1599999999999995E-4</v>
      </c>
      <c r="G74" s="3">
        <v>-4.9100000000000001E-4</v>
      </c>
      <c r="H74" s="3">
        <v>-3.4E-5</v>
      </c>
    </row>
    <row r="75" spans="1:8" x14ac:dyDescent="0.25">
      <c r="A75" s="9">
        <f t="shared" si="0"/>
        <v>847</v>
      </c>
      <c r="B75" s="2" t="s">
        <v>29</v>
      </c>
      <c r="C75" s="3">
        <v>-0.98730300000000004</v>
      </c>
      <c r="D75" s="3">
        <v>-1.3089489999999999</v>
      </c>
      <c r="E75" s="3">
        <v>-6.8013750000000002</v>
      </c>
      <c r="F75" s="3">
        <v>-7.4700000000000005E-4</v>
      </c>
      <c r="G75" s="3">
        <v>-6.6299999999999996E-4</v>
      </c>
      <c r="H75" s="3">
        <v>-2.9E-5</v>
      </c>
    </row>
    <row r="76" spans="1:8" x14ac:dyDescent="0.25">
      <c r="A76" s="9">
        <f t="shared" si="0"/>
        <v>860</v>
      </c>
      <c r="B76" s="2" t="s">
        <v>29</v>
      </c>
      <c r="C76" s="3">
        <v>-1.038672</v>
      </c>
      <c r="D76" s="3">
        <v>-1.167692</v>
      </c>
      <c r="E76" s="3">
        <v>-5.29955</v>
      </c>
      <c r="F76" s="3">
        <v>-5.8699999999999996E-4</v>
      </c>
      <c r="G76" s="3">
        <v>-6.5300000000000004E-4</v>
      </c>
      <c r="H76" s="3">
        <v>-2.5999999999999998E-5</v>
      </c>
    </row>
    <row r="77" spans="1:8" x14ac:dyDescent="0.25">
      <c r="A77" s="9">
        <f t="shared" si="0"/>
        <v>873</v>
      </c>
      <c r="B77" s="2" t="s">
        <v>29</v>
      </c>
      <c r="C77" s="3">
        <v>-0.94865200000000005</v>
      </c>
      <c r="D77" s="3">
        <v>-0.83996800000000005</v>
      </c>
      <c r="E77" s="3">
        <v>-1.826525</v>
      </c>
      <c r="F77" s="3">
        <v>-2.05E-4</v>
      </c>
      <c r="G77" s="3">
        <v>-3.7399999999999998E-4</v>
      </c>
      <c r="H77" s="3">
        <v>-4.8999999999999998E-5</v>
      </c>
    </row>
    <row r="78" spans="1:8" x14ac:dyDescent="0.25">
      <c r="A78" s="9">
        <f t="shared" si="0"/>
        <v>879</v>
      </c>
      <c r="B78" s="2" t="s">
        <v>29</v>
      </c>
      <c r="C78" s="3">
        <v>-0.88103600000000004</v>
      </c>
      <c r="D78" s="3">
        <v>-0.70786800000000005</v>
      </c>
      <c r="E78" s="3">
        <v>0</v>
      </c>
      <c r="F78" s="3">
        <v>-1.7799999999999999E-4</v>
      </c>
      <c r="G78" s="3">
        <v>-1.8000000000000001E-4</v>
      </c>
      <c r="H78" s="3">
        <v>-6.3999999999999997E-5</v>
      </c>
    </row>
    <row r="79" spans="1:8" x14ac:dyDescent="0.25">
      <c r="A79" s="9">
        <f t="shared" si="0"/>
        <v>886</v>
      </c>
      <c r="B79" s="2" t="s">
        <v>29</v>
      </c>
      <c r="C79" s="3">
        <v>-0.993394</v>
      </c>
      <c r="D79" s="3">
        <v>-0.823828</v>
      </c>
      <c r="E79" s="3">
        <v>-1.6851750000000001</v>
      </c>
      <c r="F79" s="3">
        <v>-2.9E-4</v>
      </c>
      <c r="G79" s="3">
        <v>-1.9000000000000001E-4</v>
      </c>
      <c r="H79" s="3">
        <v>-6.7000000000000002E-5</v>
      </c>
    </row>
    <row r="80" spans="1:8" x14ac:dyDescent="0.25">
      <c r="A80" s="9">
        <f t="shared" si="0"/>
        <v>897</v>
      </c>
      <c r="B80" s="2" t="s">
        <v>29</v>
      </c>
      <c r="C80" s="3">
        <v>-1.4443630000000001</v>
      </c>
      <c r="D80" s="3">
        <v>-0.92975099999999999</v>
      </c>
      <c r="E80" s="3">
        <v>-4.0043559999999996</v>
      </c>
      <c r="F80" s="3">
        <v>-4.0099999999999999E-4</v>
      </c>
      <c r="G80" s="3">
        <v>-4.1399999999999998E-4</v>
      </c>
      <c r="H80" s="3">
        <v>-4.8000000000000001E-5</v>
      </c>
    </row>
    <row r="81" spans="1:8" x14ac:dyDescent="0.25">
      <c r="A81" s="9">
        <f t="shared" si="0"/>
        <v>907</v>
      </c>
      <c r="B81" s="2" t="s">
        <v>29</v>
      </c>
      <c r="C81" s="3">
        <v>-1.756556</v>
      </c>
      <c r="D81" s="3">
        <v>-0.937307</v>
      </c>
      <c r="E81" s="3">
        <v>-4.4531419999999997</v>
      </c>
      <c r="F81" s="3">
        <v>-3.3199999999999999E-4</v>
      </c>
      <c r="G81" s="3">
        <v>-4.35E-4</v>
      </c>
      <c r="H81" s="3">
        <v>-4.6999999999999997E-5</v>
      </c>
    </row>
    <row r="82" spans="1:8" x14ac:dyDescent="0.25">
      <c r="A82" s="9">
        <f t="shared" si="0"/>
        <v>918</v>
      </c>
      <c r="B82" s="2" t="s">
        <v>29</v>
      </c>
      <c r="C82" s="3">
        <v>-2.0529950000000001</v>
      </c>
      <c r="D82" s="3">
        <v>-0.78130699999999997</v>
      </c>
      <c r="E82" s="3">
        <v>-3.1490710000000002</v>
      </c>
      <c r="F82" s="3">
        <v>-1.8100000000000001E-4</v>
      </c>
      <c r="G82" s="3">
        <v>-3.0299999999999999E-4</v>
      </c>
      <c r="H82" s="3">
        <v>-4.6999999999999997E-5</v>
      </c>
    </row>
    <row r="83" spans="1:8" x14ac:dyDescent="0.25">
      <c r="A83" s="9">
        <f t="shared" si="0"/>
        <v>930</v>
      </c>
      <c r="B83" s="2" t="s">
        <v>29</v>
      </c>
      <c r="C83" s="3">
        <v>-2.3611589999999998</v>
      </c>
      <c r="D83" s="3">
        <v>-0.55000300000000002</v>
      </c>
      <c r="E83" s="3">
        <v>0</v>
      </c>
      <c r="F83" s="3">
        <v>-2.1499999999999999E-4</v>
      </c>
      <c r="G83" s="3">
        <v>-7.2999999999999999E-5</v>
      </c>
      <c r="H83" s="3">
        <v>-4.8999999999999998E-5</v>
      </c>
    </row>
    <row r="84" spans="1:8" x14ac:dyDescent="0.25">
      <c r="A84" s="9">
        <f t="shared" si="0"/>
        <v>500</v>
      </c>
      <c r="B84" s="2" t="s">
        <v>30</v>
      </c>
      <c r="C84" s="3">
        <v>-0.85677899999999996</v>
      </c>
      <c r="D84" s="3">
        <v>-3.3654999999999997E-2</v>
      </c>
      <c r="E84" s="3">
        <v>0</v>
      </c>
      <c r="F84" s="3">
        <v>-1.8E-5</v>
      </c>
      <c r="G84" s="3">
        <v>-1.016E-3</v>
      </c>
      <c r="H84" s="3">
        <v>-5.0000000000000002E-5</v>
      </c>
    </row>
    <row r="85" spans="1:8" x14ac:dyDescent="0.25">
      <c r="A85" s="9">
        <f t="shared" si="0"/>
        <v>512</v>
      </c>
      <c r="B85" s="2" t="s">
        <v>30</v>
      </c>
      <c r="C85" s="3">
        <v>-0.65723799999999999</v>
      </c>
      <c r="D85" s="3">
        <v>-1.211425</v>
      </c>
      <c r="E85" s="3">
        <v>-11.427816999999999</v>
      </c>
      <c r="F85" s="3">
        <v>-1.152E-3</v>
      </c>
      <c r="G85" s="3">
        <v>-6.9800000000000005E-4</v>
      </c>
      <c r="H85" s="3">
        <v>-3.6999999999999998E-5</v>
      </c>
    </row>
    <row r="86" spans="1:8" x14ac:dyDescent="0.25">
      <c r="A86" s="9">
        <f t="shared" si="0"/>
        <v>524</v>
      </c>
      <c r="B86" s="2" t="s">
        <v>30</v>
      </c>
      <c r="C86" s="3">
        <v>-0.37327500000000002</v>
      </c>
      <c r="D86" s="3">
        <v>-1.8304020000000001</v>
      </c>
      <c r="E86" s="3">
        <v>-16.329848999999999</v>
      </c>
      <c r="F86" s="3">
        <v>-1.7489999999999999E-3</v>
      </c>
      <c r="G86" s="3">
        <v>-1.6799999999999999E-4</v>
      </c>
      <c r="H86" s="3">
        <v>-3.1000000000000001E-5</v>
      </c>
    </row>
    <row r="87" spans="1:8" x14ac:dyDescent="0.25">
      <c r="A87" s="9">
        <f t="shared" si="0"/>
        <v>535</v>
      </c>
      <c r="B87" s="2" t="s">
        <v>30</v>
      </c>
      <c r="C87" s="3">
        <v>-0.23942099999999999</v>
      </c>
      <c r="D87" s="3">
        <v>-1.9920089999999999</v>
      </c>
      <c r="E87" s="3">
        <v>-14.82954</v>
      </c>
      <c r="F87" s="3">
        <v>-1.7290000000000001E-3</v>
      </c>
      <c r="G87" s="3">
        <v>-7.4999999999999993E-5</v>
      </c>
      <c r="H87" s="3">
        <v>-3.0000000000000001E-5</v>
      </c>
    </row>
    <row r="88" spans="1:8" x14ac:dyDescent="0.25">
      <c r="A88" s="9">
        <f t="shared" si="0"/>
        <v>547</v>
      </c>
      <c r="B88" s="2" t="s">
        <v>30</v>
      </c>
      <c r="C88" s="3">
        <v>-0.358927</v>
      </c>
      <c r="D88" s="3">
        <v>-1.8029029999999999</v>
      </c>
      <c r="E88" s="3">
        <v>-6.3166510000000002</v>
      </c>
      <c r="F88" s="3">
        <v>-6.8300000000000001E-4</v>
      </c>
      <c r="G88" s="3">
        <v>-7.2999999999999996E-4</v>
      </c>
      <c r="H88" s="3">
        <v>-1.22E-4</v>
      </c>
    </row>
    <row r="89" spans="1:8" x14ac:dyDescent="0.25">
      <c r="A89" s="9">
        <f t="shared" si="0"/>
        <v>554</v>
      </c>
      <c r="B89" s="2" t="s">
        <v>30</v>
      </c>
      <c r="C89" s="3">
        <v>-0.57969000000000004</v>
      </c>
      <c r="D89" s="3">
        <v>-1.3812679999999999</v>
      </c>
      <c r="E89" s="3">
        <v>0</v>
      </c>
      <c r="F89" s="3">
        <v>-4.0000000000000003E-5</v>
      </c>
      <c r="G89" s="3">
        <v>-9.5600000000000004E-4</v>
      </c>
      <c r="H89" s="3">
        <v>-1.6100000000000001E-4</v>
      </c>
    </row>
    <row r="90" spans="1:8" x14ac:dyDescent="0.25">
      <c r="A90" s="9">
        <f t="shared" si="0"/>
        <v>560</v>
      </c>
      <c r="B90" s="2" t="s">
        <v>30</v>
      </c>
      <c r="C90" s="3">
        <v>-0.718082</v>
      </c>
      <c r="D90" s="3">
        <v>-2.1873459999999998</v>
      </c>
      <c r="E90" s="3">
        <v>-6.5700700000000003</v>
      </c>
      <c r="F90" s="3">
        <v>-7.9000000000000001E-4</v>
      </c>
      <c r="G90" s="3">
        <v>-1.054E-3</v>
      </c>
      <c r="H90" s="3">
        <v>-1.66E-4</v>
      </c>
    </row>
    <row r="91" spans="1:8" x14ac:dyDescent="0.25">
      <c r="A91" s="9">
        <f t="shared" si="0"/>
        <v>573</v>
      </c>
      <c r="B91" s="2" t="s">
        <v>30</v>
      </c>
      <c r="C91" s="3">
        <v>-0.68530500000000005</v>
      </c>
      <c r="D91" s="3">
        <v>-3.2392780000000001</v>
      </c>
      <c r="E91" s="3">
        <v>-18.699285</v>
      </c>
      <c r="F91" s="3">
        <v>-2.1679999999999998E-3</v>
      </c>
      <c r="G91" s="3">
        <v>-6.1799999999999995E-4</v>
      </c>
      <c r="H91" s="3">
        <v>-6.7999999999999999E-5</v>
      </c>
    </row>
    <row r="92" spans="1:8" x14ac:dyDescent="0.25">
      <c r="A92" s="9">
        <f t="shared" si="0"/>
        <v>586</v>
      </c>
      <c r="B92" s="2" t="s">
        <v>30</v>
      </c>
      <c r="C92" s="3">
        <v>-0.68830400000000003</v>
      </c>
      <c r="D92" s="3">
        <v>-3.2188940000000001</v>
      </c>
      <c r="E92" s="3">
        <v>-23.694224999999999</v>
      </c>
      <c r="F92" s="3">
        <v>-2.5309999999999998E-3</v>
      </c>
      <c r="G92" s="3">
        <v>-3.77E-4</v>
      </c>
      <c r="H92" s="3">
        <v>-5.3999999999999998E-5</v>
      </c>
    </row>
    <row r="93" spans="1:8" x14ac:dyDescent="0.25">
      <c r="A93" s="9">
        <f t="shared" si="0"/>
        <v>599</v>
      </c>
      <c r="B93" s="2" t="s">
        <v>30</v>
      </c>
      <c r="C93" s="3">
        <v>-0.67708500000000005</v>
      </c>
      <c r="D93" s="3">
        <v>-2.814181</v>
      </c>
      <c r="E93" s="3">
        <v>-19.654216000000002</v>
      </c>
      <c r="F93" s="3">
        <v>-2.1229999999999999E-3</v>
      </c>
      <c r="G93" s="3">
        <v>-4.8899999999999996E-4</v>
      </c>
      <c r="H93" s="3">
        <v>-5.1E-5</v>
      </c>
    </row>
    <row r="94" spans="1:8" x14ac:dyDescent="0.25">
      <c r="A94" s="9">
        <f t="shared" si="0"/>
        <v>612</v>
      </c>
      <c r="B94" s="2" t="s">
        <v>30</v>
      </c>
      <c r="C94" s="3">
        <v>-0.91495700000000002</v>
      </c>
      <c r="D94" s="3">
        <v>-1.852889</v>
      </c>
      <c r="E94" s="3">
        <v>-7.398015</v>
      </c>
      <c r="F94" s="3">
        <v>-7.5900000000000002E-4</v>
      </c>
      <c r="G94" s="3">
        <v>-1.01E-3</v>
      </c>
      <c r="H94" s="3">
        <v>-1.0900000000000001E-4</v>
      </c>
    </row>
    <row r="95" spans="1:8" x14ac:dyDescent="0.25">
      <c r="A95" s="9">
        <f t="shared" si="0"/>
        <v>619</v>
      </c>
      <c r="B95" s="2" t="s">
        <v>30</v>
      </c>
      <c r="C95" s="3">
        <v>-1.0921400000000001</v>
      </c>
      <c r="D95" s="3">
        <v>-1.2343580000000001</v>
      </c>
      <c r="E95" s="3">
        <v>0</v>
      </c>
      <c r="F95" s="3">
        <v>-2.02E-4</v>
      </c>
      <c r="G95" s="3">
        <v>-1.1349999999999999E-3</v>
      </c>
      <c r="H95" s="3">
        <v>-1.4300000000000001E-4</v>
      </c>
    </row>
    <row r="96" spans="1:8" x14ac:dyDescent="0.25">
      <c r="A96" s="9">
        <f t="shared" si="0"/>
        <v>625</v>
      </c>
      <c r="B96" s="2" t="s">
        <v>30</v>
      </c>
      <c r="C96" s="3">
        <v>-1.1564840000000001</v>
      </c>
      <c r="D96" s="3">
        <v>-1.7303999999999999</v>
      </c>
      <c r="E96" s="3">
        <v>-7.6081839999999996</v>
      </c>
      <c r="F96" s="3">
        <v>-7.8100000000000001E-4</v>
      </c>
      <c r="G96" s="3">
        <v>-1.088E-3</v>
      </c>
      <c r="H96" s="3">
        <v>-1.5100000000000001E-4</v>
      </c>
    </row>
    <row r="97" spans="1:8" x14ac:dyDescent="0.25">
      <c r="A97" s="9">
        <f t="shared" si="0"/>
        <v>638</v>
      </c>
      <c r="B97" s="2" t="s">
        <v>30</v>
      </c>
      <c r="C97" s="3">
        <v>-0.84306400000000004</v>
      </c>
      <c r="D97" s="3">
        <v>-2.3158189999999998</v>
      </c>
      <c r="E97" s="3">
        <v>-20.846713000000001</v>
      </c>
      <c r="F97" s="3">
        <v>-2.0349999999999999E-3</v>
      </c>
      <c r="G97" s="3">
        <v>-7.9100000000000004E-4</v>
      </c>
      <c r="H97" s="3">
        <v>-7.6000000000000004E-5</v>
      </c>
    </row>
    <row r="98" spans="1:8" x14ac:dyDescent="0.25">
      <c r="A98" s="9">
        <f t="shared" si="0"/>
        <v>651</v>
      </c>
      <c r="B98" s="2" t="s">
        <v>30</v>
      </c>
      <c r="C98" s="3">
        <v>-0.83510700000000004</v>
      </c>
      <c r="D98" s="3">
        <v>-2.4849600000000001</v>
      </c>
      <c r="E98" s="3">
        <v>-26.095655000000001</v>
      </c>
      <c r="F98" s="3">
        <v>-2.4689999999999998E-3</v>
      </c>
      <c r="G98" s="3">
        <v>-6.9099999999999999E-4</v>
      </c>
      <c r="H98" s="3">
        <v>-6.4999999999999994E-5</v>
      </c>
    </row>
    <row r="99" spans="1:8" x14ac:dyDescent="0.25">
      <c r="A99" s="9">
        <f t="shared" si="0"/>
        <v>664</v>
      </c>
      <c r="B99" s="2" t="s">
        <v>30</v>
      </c>
      <c r="C99" s="3">
        <v>-0.81471499999999997</v>
      </c>
      <c r="D99" s="3">
        <v>-2.3166509999999998</v>
      </c>
      <c r="E99" s="3">
        <v>-21.572095999999998</v>
      </c>
      <c r="F99" s="3">
        <v>-2.0799999999999998E-3</v>
      </c>
      <c r="G99" s="3">
        <v>-7.3999999999999999E-4</v>
      </c>
      <c r="H99" s="3">
        <v>-6.3E-5</v>
      </c>
    </row>
    <row r="100" spans="1:8" x14ac:dyDescent="0.25">
      <c r="A100" s="9">
        <f t="shared" si="0"/>
        <v>677</v>
      </c>
      <c r="B100" s="2" t="s">
        <v>30</v>
      </c>
      <c r="C100" s="3">
        <v>-1.144207</v>
      </c>
      <c r="D100" s="3">
        <v>-1.7287349999999999</v>
      </c>
      <c r="E100" s="3">
        <v>-8.1010480000000005</v>
      </c>
      <c r="F100" s="3">
        <v>-8.1300000000000003E-4</v>
      </c>
      <c r="G100" s="3">
        <v>-1.1169999999999999E-3</v>
      </c>
      <c r="H100" s="3">
        <v>-1.1400000000000001E-4</v>
      </c>
    </row>
    <row r="101" spans="1:8" x14ac:dyDescent="0.25">
      <c r="A101" s="9">
        <f t="shared" si="0"/>
        <v>684</v>
      </c>
      <c r="B101" s="2" t="s">
        <v>30</v>
      </c>
      <c r="C101" s="3">
        <v>-1.3804529999999999</v>
      </c>
      <c r="D101" s="3">
        <v>-1.1685719999999999</v>
      </c>
      <c r="E101" s="3">
        <v>0</v>
      </c>
      <c r="F101" s="3">
        <v>-3.9899999999999999E-4</v>
      </c>
      <c r="G101" s="3">
        <v>-1.176E-3</v>
      </c>
      <c r="H101" s="3">
        <v>-1.54E-4</v>
      </c>
    </row>
    <row r="102" spans="1:8" x14ac:dyDescent="0.25">
      <c r="A102" s="9">
        <f t="shared" si="0"/>
        <v>690</v>
      </c>
      <c r="B102" s="2" t="s">
        <v>30</v>
      </c>
      <c r="C102" s="3">
        <v>-1.455309</v>
      </c>
      <c r="D102" s="3">
        <v>-1.7919339999999999</v>
      </c>
      <c r="E102" s="3">
        <v>-8.1286419999999993</v>
      </c>
      <c r="F102" s="3">
        <v>-8.0500000000000005E-4</v>
      </c>
      <c r="G102" s="3">
        <v>-1.0219999999999999E-3</v>
      </c>
      <c r="H102" s="3">
        <v>-1.56E-4</v>
      </c>
    </row>
    <row r="103" spans="1:8" x14ac:dyDescent="0.25">
      <c r="A103" s="9">
        <f t="shared" si="0"/>
        <v>703</v>
      </c>
      <c r="B103" s="2" t="s">
        <v>30</v>
      </c>
      <c r="C103" s="3">
        <v>-1.410012</v>
      </c>
      <c r="D103" s="3">
        <v>-2.3983340000000002</v>
      </c>
      <c r="E103" s="3">
        <v>-21.983815</v>
      </c>
      <c r="F103" s="3">
        <v>-1.9400000000000001E-3</v>
      </c>
      <c r="G103" s="3">
        <v>-1.018E-3</v>
      </c>
      <c r="H103" s="3">
        <v>-7.1000000000000005E-5</v>
      </c>
    </row>
    <row r="104" spans="1:8" x14ac:dyDescent="0.25">
      <c r="A104" s="9">
        <f t="shared" si="0"/>
        <v>716</v>
      </c>
      <c r="B104" s="2" t="s">
        <v>30</v>
      </c>
      <c r="C104" s="3">
        <v>-1.4519820000000001</v>
      </c>
      <c r="D104" s="3">
        <v>-2.4811519999999998</v>
      </c>
      <c r="E104" s="3">
        <v>-26.975567000000002</v>
      </c>
      <c r="F104" s="3">
        <v>-2.3400000000000001E-3</v>
      </c>
      <c r="G104" s="3">
        <v>-1.026E-3</v>
      </c>
      <c r="H104" s="3">
        <v>-5.8999999999999998E-5</v>
      </c>
    </row>
    <row r="105" spans="1:8" x14ac:dyDescent="0.25">
      <c r="A105" s="9">
        <f t="shared" si="0"/>
        <v>729</v>
      </c>
      <c r="B105" s="2" t="s">
        <v>30</v>
      </c>
      <c r="C105" s="3">
        <v>-1.404952</v>
      </c>
      <c r="D105" s="3">
        <v>-2.285647</v>
      </c>
      <c r="E105" s="3">
        <v>-22.010621</v>
      </c>
      <c r="F105" s="3">
        <v>-2.0010000000000002E-3</v>
      </c>
      <c r="G105" s="3">
        <v>-9.8700000000000003E-4</v>
      </c>
      <c r="H105" s="3">
        <v>-5.7000000000000003E-5</v>
      </c>
    </row>
    <row r="106" spans="1:8" x14ac:dyDescent="0.25">
      <c r="A106" s="9">
        <f t="shared" si="0"/>
        <v>742</v>
      </c>
      <c r="B106" s="2" t="s">
        <v>30</v>
      </c>
      <c r="C106" s="3">
        <v>-1.5859799999999999</v>
      </c>
      <c r="D106" s="3">
        <v>-1.868662</v>
      </c>
      <c r="E106" s="3">
        <v>-8.1552369999999996</v>
      </c>
      <c r="F106" s="3">
        <v>-8.0000000000000004E-4</v>
      </c>
      <c r="G106" s="3">
        <v>-1.1119999999999999E-3</v>
      </c>
      <c r="H106" s="3">
        <v>-1.0900000000000001E-4</v>
      </c>
    </row>
    <row r="107" spans="1:8" x14ac:dyDescent="0.25">
      <c r="A107" s="9">
        <f t="shared" si="0"/>
        <v>749</v>
      </c>
      <c r="B107" s="2" t="s">
        <v>30</v>
      </c>
      <c r="C107" s="3">
        <v>-1.7823739999999999</v>
      </c>
      <c r="D107" s="3">
        <v>-1.3365819999999999</v>
      </c>
      <c r="E107" s="3">
        <v>0</v>
      </c>
      <c r="F107" s="3">
        <v>-5.6899999999999995E-4</v>
      </c>
      <c r="G107" s="3">
        <v>-1.1069999999999999E-3</v>
      </c>
      <c r="H107" s="3">
        <v>-1.5100000000000001E-4</v>
      </c>
    </row>
    <row r="108" spans="1:8" x14ac:dyDescent="0.25">
      <c r="A108" s="9">
        <f t="shared" ref="A108:A171" si="1">A67</f>
        <v>755</v>
      </c>
      <c r="B108" s="2" t="s">
        <v>30</v>
      </c>
      <c r="C108" s="3">
        <v>-1.8440749999999999</v>
      </c>
      <c r="D108" s="3">
        <v>-1.8707240000000001</v>
      </c>
      <c r="E108" s="3">
        <v>-8.1775610000000007</v>
      </c>
      <c r="F108" s="3">
        <v>-8.7200000000000005E-4</v>
      </c>
      <c r="G108" s="3">
        <v>-9.1500000000000001E-4</v>
      </c>
      <c r="H108" s="3">
        <v>-1.5200000000000001E-4</v>
      </c>
    </row>
    <row r="109" spans="1:8" x14ac:dyDescent="0.25">
      <c r="A109" s="9">
        <f t="shared" si="1"/>
        <v>768</v>
      </c>
      <c r="B109" s="2" t="s">
        <v>30</v>
      </c>
      <c r="C109" s="3">
        <v>-2.0183779999999998</v>
      </c>
      <c r="D109" s="3">
        <v>-2.4062540000000001</v>
      </c>
      <c r="E109" s="3">
        <v>-21.834627000000001</v>
      </c>
      <c r="F109" s="3">
        <v>-1.7409999999999999E-3</v>
      </c>
      <c r="G109" s="3">
        <v>-1.232E-3</v>
      </c>
      <c r="H109" s="3">
        <v>-6.7999999999999999E-5</v>
      </c>
    </row>
    <row r="110" spans="1:8" x14ac:dyDescent="0.25">
      <c r="A110" s="9">
        <f t="shared" si="1"/>
        <v>781</v>
      </c>
      <c r="B110" s="2" t="s">
        <v>30</v>
      </c>
      <c r="C110" s="3">
        <v>-2.036613</v>
      </c>
      <c r="D110" s="3">
        <v>-2.5288849999999998</v>
      </c>
      <c r="E110" s="3">
        <v>-26.617486</v>
      </c>
      <c r="F110" s="3">
        <v>-2.1280000000000001E-3</v>
      </c>
      <c r="G110" s="3">
        <v>-1.3290000000000001E-3</v>
      </c>
      <c r="H110" s="3">
        <v>-5.8E-5</v>
      </c>
    </row>
    <row r="111" spans="1:8" x14ac:dyDescent="0.25">
      <c r="A111" s="9">
        <f t="shared" si="1"/>
        <v>794</v>
      </c>
      <c r="B111" s="2" t="s">
        <v>30</v>
      </c>
      <c r="C111" s="3">
        <v>-1.9048639999999999</v>
      </c>
      <c r="D111" s="3">
        <v>-2.4172189999999998</v>
      </c>
      <c r="E111" s="3">
        <v>-21.563448000000001</v>
      </c>
      <c r="F111" s="3">
        <v>-1.786E-3</v>
      </c>
      <c r="G111" s="3">
        <v>-1.1509999999999999E-3</v>
      </c>
      <c r="H111" s="3">
        <v>-5.5999999999999999E-5</v>
      </c>
    </row>
    <row r="112" spans="1:8" x14ac:dyDescent="0.25">
      <c r="A112" s="9">
        <f t="shared" si="1"/>
        <v>807</v>
      </c>
      <c r="B112" s="2" t="s">
        <v>30</v>
      </c>
      <c r="C112" s="3">
        <v>-1.8974740000000001</v>
      </c>
      <c r="D112" s="3">
        <v>-2.2726030000000002</v>
      </c>
      <c r="E112" s="3">
        <v>-7.9073339999999996</v>
      </c>
      <c r="F112" s="3">
        <v>-7.8399999999999997E-4</v>
      </c>
      <c r="G112" s="3">
        <v>-1.06E-3</v>
      </c>
      <c r="H112" s="3">
        <v>-1.07E-4</v>
      </c>
    </row>
    <row r="113" spans="1:8" x14ac:dyDescent="0.25">
      <c r="A113" s="9">
        <f t="shared" si="1"/>
        <v>814</v>
      </c>
      <c r="B113" s="2" t="s">
        <v>30</v>
      </c>
      <c r="C113" s="3">
        <v>-2.0460069999999999</v>
      </c>
      <c r="D113" s="3">
        <v>-1.8678980000000001</v>
      </c>
      <c r="E113" s="3">
        <v>0</v>
      </c>
      <c r="F113" s="3">
        <v>-6.9700000000000003E-4</v>
      </c>
      <c r="G113" s="3">
        <v>-9.7199999999999999E-4</v>
      </c>
      <c r="H113" s="3">
        <v>-1.45E-4</v>
      </c>
    </row>
    <row r="114" spans="1:8" x14ac:dyDescent="0.25">
      <c r="A114" s="9">
        <f t="shared" si="1"/>
        <v>821</v>
      </c>
      <c r="B114" s="2" t="s">
        <v>30</v>
      </c>
      <c r="C114" s="3">
        <v>-2.1320229999999998</v>
      </c>
      <c r="D114" s="3">
        <v>-2.3758560000000002</v>
      </c>
      <c r="E114" s="3">
        <v>-7.8729829999999996</v>
      </c>
      <c r="F114" s="3">
        <v>-8.5800000000000004E-4</v>
      </c>
      <c r="G114" s="3">
        <v>-8.2399999999999997E-4</v>
      </c>
      <c r="H114" s="3">
        <v>-1.5100000000000001E-4</v>
      </c>
    </row>
    <row r="115" spans="1:8" x14ac:dyDescent="0.25">
      <c r="A115" s="9">
        <f t="shared" si="1"/>
        <v>834</v>
      </c>
      <c r="B115" s="2" t="s">
        <v>30</v>
      </c>
      <c r="C115" s="3">
        <v>-2.3665609999999999</v>
      </c>
      <c r="D115" s="3">
        <v>-2.6313979999999999</v>
      </c>
      <c r="E115" s="3">
        <v>-20.665054999999999</v>
      </c>
      <c r="F115" s="3">
        <v>-1.372E-3</v>
      </c>
      <c r="G115" s="3">
        <v>-1.305E-3</v>
      </c>
      <c r="H115" s="3">
        <v>-6.7000000000000002E-5</v>
      </c>
    </row>
    <row r="116" spans="1:8" x14ac:dyDescent="0.25">
      <c r="A116" s="9">
        <f t="shared" si="1"/>
        <v>847</v>
      </c>
      <c r="B116" s="2" t="s">
        <v>30</v>
      </c>
      <c r="C116" s="3">
        <v>-2.448814</v>
      </c>
      <c r="D116" s="3">
        <v>-2.485811</v>
      </c>
      <c r="E116" s="3">
        <v>-24.456337000000001</v>
      </c>
      <c r="F116" s="3">
        <v>-1.632E-3</v>
      </c>
      <c r="G116" s="3">
        <v>-1.413E-3</v>
      </c>
      <c r="H116" s="3">
        <v>-5.8E-5</v>
      </c>
    </row>
    <row r="117" spans="1:8" x14ac:dyDescent="0.25">
      <c r="A117" s="9">
        <f t="shared" si="1"/>
        <v>860</v>
      </c>
      <c r="B117" s="2" t="s">
        <v>30</v>
      </c>
      <c r="C117" s="3">
        <v>-2.4145270000000001</v>
      </c>
      <c r="D117" s="3">
        <v>-2.305609</v>
      </c>
      <c r="E117" s="3">
        <v>-19.018319000000002</v>
      </c>
      <c r="F117" s="3">
        <v>-1.4270000000000001E-3</v>
      </c>
      <c r="G117" s="3">
        <v>-1.1869999999999999E-3</v>
      </c>
      <c r="H117" s="3">
        <v>-5.7000000000000003E-5</v>
      </c>
    </row>
    <row r="118" spans="1:8" x14ac:dyDescent="0.25">
      <c r="A118" s="9">
        <f t="shared" si="1"/>
        <v>873</v>
      </c>
      <c r="B118" s="2" t="s">
        <v>30</v>
      </c>
      <c r="C118" s="3">
        <v>-2.14825</v>
      </c>
      <c r="D118" s="3">
        <v>-1.991849</v>
      </c>
      <c r="E118" s="3">
        <v>-6.5846049999999998</v>
      </c>
      <c r="F118" s="3">
        <v>-7.0500000000000001E-4</v>
      </c>
      <c r="G118" s="3">
        <v>-8.4999999999999995E-4</v>
      </c>
      <c r="H118" s="3">
        <v>-9.7E-5</v>
      </c>
    </row>
    <row r="119" spans="1:8" x14ac:dyDescent="0.25">
      <c r="A119" s="9">
        <f t="shared" si="1"/>
        <v>879</v>
      </c>
      <c r="B119" s="2" t="s">
        <v>30</v>
      </c>
      <c r="C119" s="3">
        <v>-2.1618979999999999</v>
      </c>
      <c r="D119" s="3">
        <v>-1.7913520000000001</v>
      </c>
      <c r="E119" s="3">
        <v>0</v>
      </c>
      <c r="F119" s="3">
        <v>-6.5899999999999997E-4</v>
      </c>
      <c r="G119" s="3">
        <v>-6.3299999999999999E-4</v>
      </c>
      <c r="H119" s="3">
        <v>-1.27E-4</v>
      </c>
    </row>
    <row r="120" spans="1:8" x14ac:dyDescent="0.25">
      <c r="A120" s="9">
        <f t="shared" si="1"/>
        <v>886</v>
      </c>
      <c r="B120" s="2" t="s">
        <v>30</v>
      </c>
      <c r="C120" s="3">
        <v>-2.4156149999999998</v>
      </c>
      <c r="D120" s="3">
        <v>-1.905016</v>
      </c>
      <c r="E120" s="3">
        <v>-5.7542070000000001</v>
      </c>
      <c r="F120" s="3">
        <v>-6.5200000000000002E-4</v>
      </c>
      <c r="G120" s="3">
        <v>-6.2100000000000002E-4</v>
      </c>
      <c r="H120" s="3">
        <v>-1.3100000000000001E-4</v>
      </c>
    </row>
    <row r="121" spans="1:8" x14ac:dyDescent="0.25">
      <c r="A121" s="9">
        <f t="shared" si="1"/>
        <v>897</v>
      </c>
      <c r="B121" s="2" t="s">
        <v>30</v>
      </c>
      <c r="C121" s="3">
        <v>-3.2511030000000001</v>
      </c>
      <c r="D121" s="3">
        <v>-1.657537</v>
      </c>
      <c r="E121" s="3">
        <v>-13.386419</v>
      </c>
      <c r="F121" s="3">
        <v>-7.6900000000000004E-4</v>
      </c>
      <c r="G121" s="3">
        <v>-1.0070000000000001E-3</v>
      </c>
      <c r="H121" s="3">
        <v>-9.1000000000000003E-5</v>
      </c>
    </row>
    <row r="122" spans="1:8" x14ac:dyDescent="0.25">
      <c r="A122" s="9">
        <f t="shared" si="1"/>
        <v>907</v>
      </c>
      <c r="B122" s="2" t="s">
        <v>30</v>
      </c>
      <c r="C122" s="3">
        <v>-3.7758060000000002</v>
      </c>
      <c r="D122" s="3">
        <v>-1.585772</v>
      </c>
      <c r="E122" s="3">
        <v>-14.670325999999999</v>
      </c>
      <c r="F122" s="3">
        <v>-8.0699999999999999E-4</v>
      </c>
      <c r="G122" s="3">
        <v>-9.6599999999999995E-4</v>
      </c>
      <c r="H122" s="3">
        <v>-8.7000000000000001E-5</v>
      </c>
    </row>
    <row r="123" spans="1:8" x14ac:dyDescent="0.25">
      <c r="A123" s="9">
        <f t="shared" si="1"/>
        <v>918</v>
      </c>
      <c r="B123" s="2" t="s">
        <v>30</v>
      </c>
      <c r="C123" s="3">
        <v>-4.2756889999999999</v>
      </c>
      <c r="D123" s="3">
        <v>-1.289112</v>
      </c>
      <c r="E123" s="3">
        <v>-10.281825</v>
      </c>
      <c r="F123" s="3">
        <v>-6.8999999999999997E-4</v>
      </c>
      <c r="G123" s="3">
        <v>-6.3100000000000005E-4</v>
      </c>
      <c r="H123" s="3">
        <v>-8.8999999999999995E-5</v>
      </c>
    </row>
    <row r="124" spans="1:8" ht="15.75" thickBot="1" x14ac:dyDescent="0.3">
      <c r="A124" s="19">
        <f t="shared" si="1"/>
        <v>930</v>
      </c>
      <c r="B124" s="18" t="s">
        <v>30</v>
      </c>
      <c r="C124" s="20">
        <v>-4.8334590000000004</v>
      </c>
      <c r="D124" s="20">
        <v>-0.92740900000000004</v>
      </c>
      <c r="E124" s="20">
        <v>0</v>
      </c>
      <c r="F124" s="20">
        <v>-7.0299999999999996E-4</v>
      </c>
      <c r="G124" s="20">
        <v>-2.7999999999999998E-4</v>
      </c>
      <c r="H124" s="20">
        <v>-8.8999999999999995E-5</v>
      </c>
    </row>
    <row r="125" spans="1:8" ht="15.75" thickTop="1" x14ac:dyDescent="0.25">
      <c r="A125" s="16">
        <f t="shared" si="1"/>
        <v>500</v>
      </c>
      <c r="B125" s="2" t="s">
        <v>31</v>
      </c>
      <c r="C125" s="3">
        <v>-0.51104400000000005</v>
      </c>
      <c r="D125" s="3">
        <v>-0.163551</v>
      </c>
      <c r="E125" s="3">
        <v>0</v>
      </c>
      <c r="F125" s="3">
        <v>-6.0999999999999999E-5</v>
      </c>
      <c r="G125" s="3">
        <v>-4.5100000000000001E-4</v>
      </c>
      <c r="H125" s="3">
        <v>-2.3E-5</v>
      </c>
    </row>
    <row r="126" spans="1:8" x14ac:dyDescent="0.25">
      <c r="A126" s="9">
        <f t="shared" si="1"/>
        <v>512</v>
      </c>
      <c r="B126" s="2" t="s">
        <v>31</v>
      </c>
      <c r="C126" s="3">
        <v>-0.45299</v>
      </c>
      <c r="D126" s="3">
        <v>-2.212072</v>
      </c>
      <c r="E126" s="3">
        <v>-5.1996520000000004</v>
      </c>
      <c r="F126" s="3">
        <v>-4.08E-4</v>
      </c>
      <c r="G126" s="3">
        <v>-3.5E-4</v>
      </c>
      <c r="H126" s="3">
        <v>-2.4000000000000001E-5</v>
      </c>
    </row>
    <row r="127" spans="1:8" x14ac:dyDescent="0.25">
      <c r="A127" s="9">
        <f t="shared" si="1"/>
        <v>524</v>
      </c>
      <c r="B127" s="2" t="s">
        <v>31</v>
      </c>
      <c r="C127" s="3">
        <v>-0.33783999999999997</v>
      </c>
      <c r="D127" s="3">
        <v>-1.932566</v>
      </c>
      <c r="E127" s="3">
        <v>-8.1218819999999994</v>
      </c>
      <c r="F127" s="3">
        <v>-6.5200000000000002E-4</v>
      </c>
      <c r="G127" s="3">
        <v>-1.4200000000000001E-4</v>
      </c>
      <c r="H127" s="3">
        <v>-1.8E-5</v>
      </c>
    </row>
    <row r="128" spans="1:8" x14ac:dyDescent="0.25">
      <c r="A128" s="9">
        <f t="shared" si="1"/>
        <v>535</v>
      </c>
      <c r="B128" s="2" t="s">
        <v>31</v>
      </c>
      <c r="C128" s="3">
        <v>-0.20960999999999999</v>
      </c>
      <c r="D128" s="3">
        <v>-1.7066790000000001</v>
      </c>
      <c r="E128" s="3">
        <v>-8.0609920000000006</v>
      </c>
      <c r="F128" s="3">
        <v>-5.9800000000000001E-4</v>
      </c>
      <c r="G128" s="3">
        <v>-1.12E-4</v>
      </c>
      <c r="H128" s="3">
        <v>-2.8E-5</v>
      </c>
    </row>
    <row r="129" spans="1:8" x14ac:dyDescent="0.25">
      <c r="A129" s="9">
        <f t="shared" si="1"/>
        <v>547</v>
      </c>
      <c r="B129" s="2" t="s">
        <v>31</v>
      </c>
      <c r="C129" s="3">
        <v>-0.281941</v>
      </c>
      <c r="D129" s="3">
        <v>-0.82169400000000004</v>
      </c>
      <c r="E129" s="3">
        <v>-3.3367779999999998</v>
      </c>
      <c r="F129" s="3">
        <v>-2.3900000000000001E-4</v>
      </c>
      <c r="G129" s="3">
        <v>-3.9500000000000001E-4</v>
      </c>
      <c r="H129" s="3">
        <v>-6.0999999999999999E-5</v>
      </c>
    </row>
    <row r="130" spans="1:8" x14ac:dyDescent="0.25">
      <c r="A130" s="9">
        <f t="shared" si="1"/>
        <v>554</v>
      </c>
      <c r="B130" s="2" t="s">
        <v>31</v>
      </c>
      <c r="C130" s="3">
        <v>-0.39284000000000002</v>
      </c>
      <c r="D130" s="3">
        <v>-0.65800499999999995</v>
      </c>
      <c r="E130" s="3">
        <v>0</v>
      </c>
      <c r="F130" s="3">
        <v>-2.0000000000000002E-5</v>
      </c>
      <c r="G130" s="3">
        <v>-5.0299999999999997E-4</v>
      </c>
      <c r="H130" s="3">
        <v>-1.01E-4</v>
      </c>
    </row>
    <row r="131" spans="1:8" x14ac:dyDescent="0.25">
      <c r="A131" s="9">
        <f t="shared" si="1"/>
        <v>560</v>
      </c>
      <c r="B131" s="2" t="s">
        <v>31</v>
      </c>
      <c r="C131" s="3">
        <v>-0.43011500000000003</v>
      </c>
      <c r="D131" s="3">
        <v>-1.1286339999999999</v>
      </c>
      <c r="E131" s="3">
        <v>-3.4679820000000001</v>
      </c>
      <c r="F131" s="3">
        <v>-3.5399999999999999E-4</v>
      </c>
      <c r="G131" s="3">
        <v>-5.5900000000000004E-4</v>
      </c>
      <c r="H131" s="3">
        <v>-1.08E-4</v>
      </c>
    </row>
    <row r="132" spans="1:8" x14ac:dyDescent="0.25">
      <c r="A132" s="9">
        <f t="shared" si="1"/>
        <v>573</v>
      </c>
      <c r="B132" s="2" t="s">
        <v>31</v>
      </c>
      <c r="C132" s="3">
        <v>-0.30862800000000001</v>
      </c>
      <c r="D132" s="3">
        <v>-1.572193</v>
      </c>
      <c r="E132" s="3">
        <v>-9.9533020000000008</v>
      </c>
      <c r="F132" s="3">
        <v>-8.6499999999999999E-4</v>
      </c>
      <c r="G132" s="3">
        <v>-3.6000000000000002E-4</v>
      </c>
      <c r="H132" s="3">
        <v>-3.6000000000000001E-5</v>
      </c>
    </row>
    <row r="133" spans="1:8" x14ac:dyDescent="0.25">
      <c r="A133" s="9">
        <f t="shared" si="1"/>
        <v>586</v>
      </c>
      <c r="B133" s="2" t="s">
        <v>31</v>
      </c>
      <c r="C133" s="3">
        <v>-0.318023</v>
      </c>
      <c r="D133" s="3">
        <v>-1.5069410000000001</v>
      </c>
      <c r="E133" s="3">
        <v>-12.624043</v>
      </c>
      <c r="F133" s="3">
        <v>-8.1300000000000003E-4</v>
      </c>
      <c r="G133" s="3">
        <v>-1.4899999999999999E-4</v>
      </c>
      <c r="H133" s="3">
        <v>-2.8E-5</v>
      </c>
    </row>
    <row r="134" spans="1:8" x14ac:dyDescent="0.25">
      <c r="A134" s="9">
        <f t="shared" si="1"/>
        <v>599</v>
      </c>
      <c r="B134" s="2" t="s">
        <v>31</v>
      </c>
      <c r="C134" s="3">
        <v>-0.36661899999999997</v>
      </c>
      <c r="D134" s="3">
        <v>-1.37714</v>
      </c>
      <c r="E134" s="3">
        <v>-9.7037610000000001</v>
      </c>
      <c r="F134" s="3">
        <v>-6.4400000000000004E-4</v>
      </c>
      <c r="G134" s="3">
        <v>-1.84E-4</v>
      </c>
      <c r="H134" s="3">
        <v>-4.3000000000000002E-5</v>
      </c>
    </row>
    <row r="135" spans="1:8" x14ac:dyDescent="0.25">
      <c r="A135" s="9">
        <f t="shared" si="1"/>
        <v>612</v>
      </c>
      <c r="B135" s="2" t="s">
        <v>31</v>
      </c>
      <c r="C135" s="3">
        <v>-0.359516</v>
      </c>
      <c r="D135" s="3">
        <v>-0.73863900000000005</v>
      </c>
      <c r="E135" s="3">
        <v>-3.3168989999999998</v>
      </c>
      <c r="F135" s="3">
        <v>-2.2599999999999999E-4</v>
      </c>
      <c r="G135" s="3">
        <v>-3.8999999999999999E-4</v>
      </c>
      <c r="H135" s="3">
        <v>-5.7000000000000003E-5</v>
      </c>
    </row>
    <row r="136" spans="1:8" x14ac:dyDescent="0.25">
      <c r="A136" s="9">
        <f t="shared" si="1"/>
        <v>619</v>
      </c>
      <c r="B136" s="2" t="s">
        <v>31</v>
      </c>
      <c r="C136" s="3">
        <v>-0.39948600000000001</v>
      </c>
      <c r="D136" s="3">
        <v>-0.43411499999999997</v>
      </c>
      <c r="E136" s="3">
        <v>0</v>
      </c>
      <c r="F136" s="3">
        <v>-8.8999999999999995E-5</v>
      </c>
      <c r="G136" s="3">
        <v>-4.7800000000000002E-4</v>
      </c>
      <c r="H136" s="3">
        <v>-1.03E-4</v>
      </c>
    </row>
    <row r="137" spans="1:8" x14ac:dyDescent="0.25">
      <c r="A137" s="9">
        <f t="shared" si="1"/>
        <v>625</v>
      </c>
      <c r="B137" s="2" t="s">
        <v>31</v>
      </c>
      <c r="C137" s="3">
        <v>-0.44031199999999998</v>
      </c>
      <c r="D137" s="3">
        <v>-0.79311900000000002</v>
      </c>
      <c r="E137" s="3">
        <v>-3.323763</v>
      </c>
      <c r="F137" s="3">
        <v>-2.1800000000000001E-4</v>
      </c>
      <c r="G137" s="3">
        <v>-4.8000000000000001E-4</v>
      </c>
      <c r="H137" s="3">
        <v>-1.1900000000000001E-4</v>
      </c>
    </row>
    <row r="138" spans="1:8" x14ac:dyDescent="0.25">
      <c r="A138" s="9">
        <f t="shared" si="1"/>
        <v>638</v>
      </c>
      <c r="B138" s="2" t="s">
        <v>31</v>
      </c>
      <c r="C138" s="3">
        <v>-0.30108800000000002</v>
      </c>
      <c r="D138" s="3">
        <v>-1.1442669999999999</v>
      </c>
      <c r="E138" s="3">
        <v>-9.7062469999999994</v>
      </c>
      <c r="F138" s="3">
        <v>-5.0799999999999999E-4</v>
      </c>
      <c r="G138" s="3">
        <v>-3.7100000000000002E-4</v>
      </c>
      <c r="H138" s="3">
        <v>-3.4999999999999997E-5</v>
      </c>
    </row>
    <row r="139" spans="1:8" x14ac:dyDescent="0.25">
      <c r="A139" s="9">
        <f t="shared" si="1"/>
        <v>651</v>
      </c>
      <c r="B139" s="2" t="s">
        <v>31</v>
      </c>
      <c r="C139" s="3">
        <v>-0.29964400000000002</v>
      </c>
      <c r="D139" s="3">
        <v>-1.143672</v>
      </c>
      <c r="E139" s="3">
        <v>-12.614141999999999</v>
      </c>
      <c r="F139" s="3">
        <v>-5.4199999999999995E-4</v>
      </c>
      <c r="G139" s="3">
        <v>-2.2900000000000001E-4</v>
      </c>
      <c r="H139" s="3">
        <v>-3.1000000000000001E-5</v>
      </c>
    </row>
    <row r="140" spans="1:8" x14ac:dyDescent="0.25">
      <c r="A140" s="9">
        <f t="shared" si="1"/>
        <v>664</v>
      </c>
      <c r="B140" s="2" t="s">
        <v>31</v>
      </c>
      <c r="C140" s="3">
        <v>-0.35359499999999999</v>
      </c>
      <c r="D140" s="3">
        <v>-1.0875939999999999</v>
      </c>
      <c r="E140" s="3">
        <v>-9.9401729999999997</v>
      </c>
      <c r="F140" s="3">
        <v>-5.4299999999999997E-4</v>
      </c>
      <c r="G140" s="3">
        <v>-2.3499999999999999E-4</v>
      </c>
      <c r="H140" s="3">
        <v>-4.1999999999999998E-5</v>
      </c>
    </row>
    <row r="141" spans="1:8" x14ac:dyDescent="0.25">
      <c r="A141" s="9">
        <f t="shared" si="1"/>
        <v>677</v>
      </c>
      <c r="B141" s="2" t="s">
        <v>31</v>
      </c>
      <c r="C141" s="3">
        <v>-0.378251</v>
      </c>
      <c r="D141" s="3">
        <v>-0.67268399999999995</v>
      </c>
      <c r="E141" s="3">
        <v>-3.4644189999999999</v>
      </c>
      <c r="F141" s="3">
        <v>-2.43E-4</v>
      </c>
      <c r="G141" s="3">
        <v>-4.0299999999999998E-4</v>
      </c>
      <c r="H141" s="3">
        <v>-5.7000000000000003E-5</v>
      </c>
    </row>
    <row r="142" spans="1:8" x14ac:dyDescent="0.25">
      <c r="A142" s="9">
        <f t="shared" si="1"/>
        <v>684</v>
      </c>
      <c r="B142" s="2" t="s">
        <v>31</v>
      </c>
      <c r="C142" s="3">
        <v>-0.45672800000000002</v>
      </c>
      <c r="D142" s="3">
        <v>-0.44840000000000002</v>
      </c>
      <c r="E142" s="3">
        <v>0</v>
      </c>
      <c r="F142" s="3">
        <v>-1.6799999999999999E-4</v>
      </c>
      <c r="G142" s="3">
        <v>-4.8000000000000001E-4</v>
      </c>
      <c r="H142" s="3">
        <v>-1.08E-4</v>
      </c>
    </row>
    <row r="143" spans="1:8" x14ac:dyDescent="0.25">
      <c r="A143" s="9">
        <f t="shared" si="1"/>
        <v>690</v>
      </c>
      <c r="B143" s="2" t="s">
        <v>31</v>
      </c>
      <c r="C143" s="3">
        <v>-0.55090300000000003</v>
      </c>
      <c r="D143" s="3">
        <v>-0.86800600000000006</v>
      </c>
      <c r="E143" s="3">
        <v>-3.4631530000000001</v>
      </c>
      <c r="F143" s="3">
        <v>-2.3499999999999999E-4</v>
      </c>
      <c r="G143" s="3">
        <v>-4.4499999999999997E-4</v>
      </c>
      <c r="H143" s="3">
        <v>-1.13E-4</v>
      </c>
    </row>
    <row r="144" spans="1:8" x14ac:dyDescent="0.25">
      <c r="A144" s="9">
        <f t="shared" si="1"/>
        <v>703</v>
      </c>
      <c r="B144" s="2" t="s">
        <v>31</v>
      </c>
      <c r="C144" s="3">
        <v>-0.41569299999999998</v>
      </c>
      <c r="D144" s="3">
        <v>-1.185484</v>
      </c>
      <c r="E144" s="3">
        <v>-10.054449999999999</v>
      </c>
      <c r="F144" s="3">
        <v>-4.6999999999999999E-4</v>
      </c>
      <c r="G144" s="3">
        <v>-4.0700000000000003E-4</v>
      </c>
      <c r="H144" s="3">
        <v>-3.6000000000000001E-5</v>
      </c>
    </row>
    <row r="145" spans="1:8" x14ac:dyDescent="0.25">
      <c r="A145" s="9">
        <f t="shared" si="1"/>
        <v>716</v>
      </c>
      <c r="B145" s="2" t="s">
        <v>31</v>
      </c>
      <c r="C145" s="3">
        <v>-0.46052199999999999</v>
      </c>
      <c r="D145" s="3">
        <v>-1.144156</v>
      </c>
      <c r="E145" s="3">
        <v>-12.867943</v>
      </c>
      <c r="F145" s="3">
        <v>-5.2999999999999998E-4</v>
      </c>
      <c r="G145" s="3">
        <v>-3.0200000000000002E-4</v>
      </c>
      <c r="H145" s="3">
        <v>-2.9E-5</v>
      </c>
    </row>
    <row r="146" spans="1:8" x14ac:dyDescent="0.25">
      <c r="A146" s="9">
        <f t="shared" si="1"/>
        <v>729</v>
      </c>
      <c r="B146" s="2" t="s">
        <v>31</v>
      </c>
      <c r="C146" s="3">
        <v>-0.51679399999999998</v>
      </c>
      <c r="D146" s="3">
        <v>-1.0594490000000001</v>
      </c>
      <c r="E146" s="3">
        <v>-10.046828</v>
      </c>
      <c r="F146" s="3">
        <v>-5.4000000000000001E-4</v>
      </c>
      <c r="G146" s="3">
        <v>-2.8400000000000002E-4</v>
      </c>
      <c r="H146" s="3">
        <v>-4.0000000000000003E-5</v>
      </c>
    </row>
    <row r="147" spans="1:8" x14ac:dyDescent="0.25">
      <c r="A147" s="9">
        <f t="shared" si="1"/>
        <v>742</v>
      </c>
      <c r="B147" s="2" t="s">
        <v>31</v>
      </c>
      <c r="C147" s="3">
        <v>-0.52594099999999999</v>
      </c>
      <c r="D147" s="3">
        <v>-0.70362499999999994</v>
      </c>
      <c r="E147" s="3">
        <v>-3.463428</v>
      </c>
      <c r="F147" s="3">
        <v>-2.5599999999999999E-4</v>
      </c>
      <c r="G147" s="3">
        <v>-3.9100000000000002E-4</v>
      </c>
      <c r="H147" s="3">
        <v>-5.5999999999999999E-5</v>
      </c>
    </row>
    <row r="148" spans="1:8" x14ac:dyDescent="0.25">
      <c r="A148" s="9">
        <f t="shared" si="1"/>
        <v>749</v>
      </c>
      <c r="B148" s="2" t="s">
        <v>31</v>
      </c>
      <c r="C148" s="3">
        <v>-0.54240600000000005</v>
      </c>
      <c r="D148" s="3">
        <v>-0.53594699999999995</v>
      </c>
      <c r="E148" s="3">
        <v>0</v>
      </c>
      <c r="F148" s="3">
        <v>-2.3699999999999999E-4</v>
      </c>
      <c r="G148" s="3">
        <v>-4.5899999999999999E-4</v>
      </c>
      <c r="H148" s="3">
        <v>-1.08E-4</v>
      </c>
    </row>
    <row r="149" spans="1:8" x14ac:dyDescent="0.25">
      <c r="A149" s="9">
        <f t="shared" si="1"/>
        <v>755</v>
      </c>
      <c r="B149" s="2" t="s">
        <v>31</v>
      </c>
      <c r="C149" s="3">
        <v>-0.68659599999999998</v>
      </c>
      <c r="D149" s="3">
        <v>-0.92562699999999998</v>
      </c>
      <c r="E149" s="3">
        <v>-3.5291060000000001</v>
      </c>
      <c r="F149" s="3">
        <v>-2.81E-4</v>
      </c>
      <c r="G149" s="3">
        <v>-4.0900000000000002E-4</v>
      </c>
      <c r="H149" s="3">
        <v>-1.1400000000000001E-4</v>
      </c>
    </row>
    <row r="150" spans="1:8" x14ac:dyDescent="0.25">
      <c r="A150" s="9">
        <f t="shared" si="1"/>
        <v>768</v>
      </c>
      <c r="B150" s="2" t="s">
        <v>31</v>
      </c>
      <c r="C150" s="3">
        <v>-0.54003900000000005</v>
      </c>
      <c r="D150" s="3">
        <v>-1.2038580000000001</v>
      </c>
      <c r="E150" s="3">
        <v>-10.152158999999999</v>
      </c>
      <c r="F150" s="3">
        <v>-4.2999999999999999E-4</v>
      </c>
      <c r="G150" s="3">
        <v>-4.44E-4</v>
      </c>
      <c r="H150" s="3">
        <v>-3.4999999999999997E-5</v>
      </c>
    </row>
    <row r="151" spans="1:8" x14ac:dyDescent="0.25">
      <c r="A151" s="9">
        <f t="shared" si="1"/>
        <v>781</v>
      </c>
      <c r="B151" s="2" t="s">
        <v>31</v>
      </c>
      <c r="C151" s="3">
        <v>-0.58688899999999999</v>
      </c>
      <c r="D151" s="3">
        <v>-1.1844840000000001</v>
      </c>
      <c r="E151" s="3">
        <v>-12.997096000000001</v>
      </c>
      <c r="F151" s="3">
        <v>-5.0000000000000001E-4</v>
      </c>
      <c r="G151" s="3">
        <v>-3.7399999999999998E-4</v>
      </c>
      <c r="H151" s="3">
        <v>-2.9E-5</v>
      </c>
    </row>
    <row r="152" spans="1:8" x14ac:dyDescent="0.25">
      <c r="A152" s="9">
        <f t="shared" si="1"/>
        <v>794</v>
      </c>
      <c r="B152" s="2" t="s">
        <v>31</v>
      </c>
      <c r="C152" s="3">
        <v>-0.62047799999999997</v>
      </c>
      <c r="D152" s="3">
        <v>-1.0482959999999999</v>
      </c>
      <c r="E152" s="3">
        <v>-10.221591</v>
      </c>
      <c r="F152" s="3">
        <v>-4.9600000000000002E-4</v>
      </c>
      <c r="G152" s="3">
        <v>-3.1300000000000002E-4</v>
      </c>
      <c r="H152" s="3">
        <v>-4.0000000000000003E-5</v>
      </c>
    </row>
    <row r="153" spans="1:8" x14ac:dyDescent="0.25">
      <c r="A153" s="9">
        <f t="shared" si="1"/>
        <v>807</v>
      </c>
      <c r="B153" s="2" t="s">
        <v>31</v>
      </c>
      <c r="C153" s="3">
        <v>-0.62140300000000004</v>
      </c>
      <c r="D153" s="3">
        <v>-0.78332100000000005</v>
      </c>
      <c r="E153" s="3">
        <v>-3.5757029999999999</v>
      </c>
      <c r="F153" s="3">
        <v>-2.9E-4</v>
      </c>
      <c r="G153" s="3">
        <v>-3.86E-4</v>
      </c>
      <c r="H153" s="3">
        <v>-5.7000000000000003E-5</v>
      </c>
    </row>
    <row r="154" spans="1:8" x14ac:dyDescent="0.25">
      <c r="A154" s="9">
        <f t="shared" si="1"/>
        <v>814</v>
      </c>
      <c r="B154" s="2" t="s">
        <v>31</v>
      </c>
      <c r="C154" s="3">
        <v>-0.62381900000000001</v>
      </c>
      <c r="D154" s="3">
        <v>-0.75157300000000005</v>
      </c>
      <c r="E154" s="3">
        <v>0</v>
      </c>
      <c r="F154" s="3">
        <v>-3.1199999999999999E-4</v>
      </c>
      <c r="G154" s="3">
        <v>-4.3300000000000001E-4</v>
      </c>
      <c r="H154" s="3">
        <v>-1.1E-4</v>
      </c>
    </row>
    <row r="155" spans="1:8" x14ac:dyDescent="0.25">
      <c r="A155" s="9">
        <f t="shared" si="1"/>
        <v>821</v>
      </c>
      <c r="B155" s="2" t="s">
        <v>31</v>
      </c>
      <c r="C155" s="3">
        <v>-0.78880399999999995</v>
      </c>
      <c r="D155" s="3">
        <v>-1.0915699999999999</v>
      </c>
      <c r="E155" s="3">
        <v>-3.6526900000000002</v>
      </c>
      <c r="F155" s="3">
        <v>-3.1399999999999999E-4</v>
      </c>
      <c r="G155" s="3">
        <v>-3.7300000000000001E-4</v>
      </c>
      <c r="H155" s="3">
        <v>-1.26E-4</v>
      </c>
    </row>
    <row r="156" spans="1:8" x14ac:dyDescent="0.25">
      <c r="A156" s="9">
        <f t="shared" si="1"/>
        <v>834</v>
      </c>
      <c r="B156" s="2" t="s">
        <v>31</v>
      </c>
      <c r="C156" s="3">
        <v>-0.66918800000000001</v>
      </c>
      <c r="D156" s="3">
        <v>-1.2525980000000001</v>
      </c>
      <c r="E156" s="3">
        <v>-10.426259999999999</v>
      </c>
      <c r="F156" s="3">
        <v>-3.6999999999999999E-4</v>
      </c>
      <c r="G156" s="3">
        <v>-4.46E-4</v>
      </c>
      <c r="H156" s="3">
        <v>-3.8999999999999999E-5</v>
      </c>
    </row>
    <row r="157" spans="1:8" x14ac:dyDescent="0.25">
      <c r="A157" s="9">
        <f t="shared" si="1"/>
        <v>847</v>
      </c>
      <c r="B157" s="2" t="s">
        <v>31</v>
      </c>
      <c r="C157" s="3">
        <v>-0.63760600000000001</v>
      </c>
      <c r="D157" s="3">
        <v>-1.1386510000000001</v>
      </c>
      <c r="E157" s="3">
        <v>-13.142151</v>
      </c>
      <c r="F157" s="3">
        <v>-4.5899999999999999E-4</v>
      </c>
      <c r="G157" s="3">
        <v>-3.9500000000000001E-4</v>
      </c>
      <c r="H157" s="3">
        <v>-3.1999999999999999E-5</v>
      </c>
    </row>
    <row r="158" spans="1:8" x14ac:dyDescent="0.25">
      <c r="A158" s="9">
        <f t="shared" si="1"/>
        <v>860</v>
      </c>
      <c r="B158" s="2" t="s">
        <v>31</v>
      </c>
      <c r="C158" s="3">
        <v>-0.70225899999999997</v>
      </c>
      <c r="D158" s="3">
        <v>-1.0474920000000001</v>
      </c>
      <c r="E158" s="3">
        <v>-10.037538</v>
      </c>
      <c r="F158" s="3">
        <v>-4.75E-4</v>
      </c>
      <c r="G158" s="3">
        <v>-3.4400000000000001E-4</v>
      </c>
      <c r="H158" s="3">
        <v>-4.3999999999999999E-5</v>
      </c>
    </row>
    <row r="159" spans="1:8" x14ac:dyDescent="0.25">
      <c r="A159" s="9">
        <f t="shared" si="1"/>
        <v>873</v>
      </c>
      <c r="B159" s="2" t="s">
        <v>31</v>
      </c>
      <c r="C159" s="3">
        <v>-0.67025900000000005</v>
      </c>
      <c r="D159" s="3">
        <v>-0.75309800000000005</v>
      </c>
      <c r="E159" s="3">
        <v>-3.3940239999999999</v>
      </c>
      <c r="F159" s="3">
        <v>-3.4400000000000001E-4</v>
      </c>
      <c r="G159" s="3">
        <v>-3.4099999999999999E-4</v>
      </c>
      <c r="H159" s="3">
        <v>-5.3999999999999998E-5</v>
      </c>
    </row>
    <row r="160" spans="1:8" x14ac:dyDescent="0.25">
      <c r="A160" s="9">
        <f t="shared" si="1"/>
        <v>879</v>
      </c>
      <c r="B160" s="2" t="s">
        <v>31</v>
      </c>
      <c r="C160" s="3">
        <v>-0.62156900000000004</v>
      </c>
      <c r="D160" s="3">
        <v>-0.71522799999999997</v>
      </c>
      <c r="E160" s="3">
        <v>0</v>
      </c>
      <c r="F160" s="3">
        <v>-3.4600000000000001E-4</v>
      </c>
      <c r="G160" s="3">
        <v>-3.01E-4</v>
      </c>
      <c r="H160" s="3">
        <v>-1.05E-4</v>
      </c>
    </row>
    <row r="161" spans="1:8" x14ac:dyDescent="0.25">
      <c r="A161" s="9">
        <f t="shared" si="1"/>
        <v>886</v>
      </c>
      <c r="B161" s="2" t="s">
        <v>31</v>
      </c>
      <c r="C161" s="3">
        <v>-0.75596300000000005</v>
      </c>
      <c r="D161" s="3">
        <v>-0.97032499999999999</v>
      </c>
      <c r="E161" s="3">
        <v>-2.888655</v>
      </c>
      <c r="F161" s="3">
        <v>-3.3700000000000001E-4</v>
      </c>
      <c r="G161" s="3">
        <v>-2.7999999999999998E-4</v>
      </c>
      <c r="H161" s="3">
        <v>-1.2300000000000001E-4</v>
      </c>
    </row>
    <row r="162" spans="1:8" x14ac:dyDescent="0.25">
      <c r="A162" s="9">
        <f t="shared" si="1"/>
        <v>897</v>
      </c>
      <c r="B162" s="2" t="s">
        <v>31</v>
      </c>
      <c r="C162" s="3">
        <v>-0.81844499999999998</v>
      </c>
      <c r="D162" s="3">
        <v>-1.002262</v>
      </c>
      <c r="E162" s="3">
        <v>-7.4325869999999998</v>
      </c>
      <c r="F162" s="3">
        <v>-3.0699999999999998E-4</v>
      </c>
      <c r="G162" s="3">
        <v>-4.1199999999999999E-4</v>
      </c>
      <c r="H162" s="3">
        <v>-4.3000000000000002E-5</v>
      </c>
    </row>
    <row r="163" spans="1:8" x14ac:dyDescent="0.25">
      <c r="A163" s="9">
        <f t="shared" si="1"/>
        <v>907</v>
      </c>
      <c r="B163" s="2" t="s">
        <v>31</v>
      </c>
      <c r="C163" s="3">
        <v>-1.156037</v>
      </c>
      <c r="D163" s="3">
        <v>-0.96758500000000003</v>
      </c>
      <c r="E163" s="3">
        <v>-8.7581710000000008</v>
      </c>
      <c r="F163" s="3">
        <v>-2.9500000000000001E-4</v>
      </c>
      <c r="G163" s="3">
        <v>-3.97E-4</v>
      </c>
      <c r="H163" s="3">
        <v>-4.1999999999999998E-5</v>
      </c>
    </row>
    <row r="164" spans="1:8" x14ac:dyDescent="0.25">
      <c r="A164" s="9">
        <f t="shared" si="1"/>
        <v>918</v>
      </c>
      <c r="B164" s="2" t="s">
        <v>31</v>
      </c>
      <c r="C164" s="3">
        <v>-1.4752860000000001</v>
      </c>
      <c r="D164" s="3">
        <v>-0.74851199999999996</v>
      </c>
      <c r="E164" s="3">
        <v>-6.1398650000000004</v>
      </c>
      <c r="F164" s="3">
        <v>-2.99E-4</v>
      </c>
      <c r="G164" s="3">
        <v>-2.6600000000000001E-4</v>
      </c>
      <c r="H164" s="3">
        <v>-4.6E-5</v>
      </c>
    </row>
    <row r="165" spans="1:8" ht="15.75" thickBot="1" x14ac:dyDescent="0.3">
      <c r="A165" s="19">
        <f t="shared" si="1"/>
        <v>930</v>
      </c>
      <c r="B165" s="18" t="s">
        <v>31</v>
      </c>
      <c r="C165" s="20">
        <v>-1.806424</v>
      </c>
      <c r="D165" s="20">
        <v>-0.45836900000000003</v>
      </c>
      <c r="E165" s="20">
        <v>0</v>
      </c>
      <c r="F165" s="20">
        <v>-4.1800000000000002E-4</v>
      </c>
      <c r="G165" s="20">
        <v>-1.4100000000000001E-4</v>
      </c>
      <c r="H165" s="20">
        <v>-4.3000000000000002E-5</v>
      </c>
    </row>
    <row r="166" spans="1:8" ht="15.75" thickTop="1" x14ac:dyDescent="0.25">
      <c r="A166" s="16">
        <f t="shared" si="1"/>
        <v>500</v>
      </c>
      <c r="B166" s="2" t="s">
        <v>32</v>
      </c>
      <c r="C166" s="3">
        <v>-0.43681799999999998</v>
      </c>
      <c r="D166" s="3">
        <v>-3.909E-2</v>
      </c>
      <c r="E166" s="3">
        <v>0</v>
      </c>
      <c r="F166" s="3">
        <v>-1.0000000000000001E-5</v>
      </c>
      <c r="G166" s="3">
        <v>-4.2400000000000001E-4</v>
      </c>
      <c r="H166" s="3">
        <v>-2.8E-5</v>
      </c>
    </row>
    <row r="167" spans="1:8" x14ac:dyDescent="0.25">
      <c r="A167" s="9">
        <f t="shared" si="1"/>
        <v>512</v>
      </c>
      <c r="B167" s="2" t="s">
        <v>32</v>
      </c>
      <c r="C167" s="3">
        <v>-0.37775900000000001</v>
      </c>
      <c r="D167" s="3">
        <v>-1.38269</v>
      </c>
      <c r="E167" s="3">
        <v>-4.823423</v>
      </c>
      <c r="F167" s="3">
        <v>-5.53E-4</v>
      </c>
      <c r="G167" s="3">
        <v>-3.1700000000000001E-4</v>
      </c>
      <c r="H167" s="3">
        <v>-2.5999999999999998E-5</v>
      </c>
    </row>
    <row r="168" spans="1:8" x14ac:dyDescent="0.25">
      <c r="A168" s="9">
        <f t="shared" si="1"/>
        <v>524</v>
      </c>
      <c r="B168" s="2" t="s">
        <v>32</v>
      </c>
      <c r="C168" s="3">
        <v>-0.30379400000000001</v>
      </c>
      <c r="D168" s="3">
        <v>-1.826473</v>
      </c>
      <c r="E168" s="3">
        <v>-7.2770520000000003</v>
      </c>
      <c r="F168" s="3">
        <v>-8.7799999999999998E-4</v>
      </c>
      <c r="G168" s="3">
        <v>-1.2300000000000001E-4</v>
      </c>
      <c r="H168" s="3">
        <v>-1.8E-5</v>
      </c>
    </row>
    <row r="169" spans="1:8" x14ac:dyDescent="0.25">
      <c r="A169" s="9">
        <f t="shared" si="1"/>
        <v>535</v>
      </c>
      <c r="B169" s="2" t="s">
        <v>32</v>
      </c>
      <c r="C169" s="3">
        <v>-0.244591</v>
      </c>
      <c r="D169" s="3">
        <v>-1.8547549999999999</v>
      </c>
      <c r="E169" s="3">
        <v>-7.0247130000000002</v>
      </c>
      <c r="F169" s="3">
        <v>-8.8000000000000003E-4</v>
      </c>
      <c r="G169" s="3">
        <v>-1.0399999999999999E-4</v>
      </c>
      <c r="H169" s="3">
        <v>-1.7E-5</v>
      </c>
    </row>
    <row r="170" spans="1:8" x14ac:dyDescent="0.25">
      <c r="A170" s="9">
        <f t="shared" si="1"/>
        <v>547</v>
      </c>
      <c r="B170" s="2" t="s">
        <v>32</v>
      </c>
      <c r="C170" s="3">
        <v>-0.29497200000000001</v>
      </c>
      <c r="D170" s="3">
        <v>-1.4057040000000001</v>
      </c>
      <c r="E170" s="3">
        <v>-3.1602320000000002</v>
      </c>
      <c r="F170" s="3">
        <v>-3.4600000000000001E-4</v>
      </c>
      <c r="G170" s="3">
        <v>-5.4900000000000001E-4</v>
      </c>
      <c r="H170" s="3">
        <v>-6.7999999999999999E-5</v>
      </c>
    </row>
    <row r="171" spans="1:8" x14ac:dyDescent="0.25">
      <c r="A171" s="9">
        <f t="shared" si="1"/>
        <v>554</v>
      </c>
      <c r="B171" s="2" t="s">
        <v>32</v>
      </c>
      <c r="C171" s="3">
        <v>-0.43106899999999998</v>
      </c>
      <c r="D171" s="3">
        <v>-0.98429800000000001</v>
      </c>
      <c r="E171" s="3">
        <v>0</v>
      </c>
      <c r="F171" s="3">
        <v>-1.5E-5</v>
      </c>
      <c r="G171" s="3">
        <v>-6.9200000000000002E-4</v>
      </c>
      <c r="H171" s="3">
        <v>-9.7E-5</v>
      </c>
    </row>
    <row r="172" spans="1:8" x14ac:dyDescent="0.25">
      <c r="A172" s="9">
        <f t="shared" ref="A172:A235" si="2">A131</f>
        <v>560</v>
      </c>
      <c r="B172" s="2" t="s">
        <v>32</v>
      </c>
      <c r="C172" s="3">
        <v>-0.50495500000000004</v>
      </c>
      <c r="D172" s="3">
        <v>-1.441546</v>
      </c>
      <c r="E172" s="3">
        <v>-4.6358069999999998</v>
      </c>
      <c r="F172" s="3">
        <v>-5.7700000000000004E-4</v>
      </c>
      <c r="G172" s="3">
        <v>-7.3800000000000005E-4</v>
      </c>
      <c r="H172" s="3">
        <v>-1.05E-4</v>
      </c>
    </row>
    <row r="173" spans="1:8" x14ac:dyDescent="0.25">
      <c r="A173" s="9">
        <f t="shared" si="2"/>
        <v>573</v>
      </c>
      <c r="B173" s="2" t="s">
        <v>32</v>
      </c>
      <c r="C173" s="3">
        <v>-0.41196700000000003</v>
      </c>
      <c r="D173" s="3">
        <v>-2.0325250000000001</v>
      </c>
      <c r="E173" s="3">
        <v>-12.876518000000001</v>
      </c>
      <c r="F173" s="3">
        <v>-1.513E-3</v>
      </c>
      <c r="G173" s="3">
        <v>-4.08E-4</v>
      </c>
      <c r="H173" s="3">
        <v>-4.8000000000000001E-5</v>
      </c>
    </row>
    <row r="174" spans="1:8" x14ac:dyDescent="0.25">
      <c r="A174" s="9">
        <f t="shared" si="2"/>
        <v>586</v>
      </c>
      <c r="B174" s="2" t="s">
        <v>32</v>
      </c>
      <c r="C174" s="3">
        <v>-0.40586699999999998</v>
      </c>
      <c r="D174" s="3">
        <v>-2.0190320000000002</v>
      </c>
      <c r="E174" s="3">
        <v>-16.067231</v>
      </c>
      <c r="F174" s="3">
        <v>-1.6900000000000001E-3</v>
      </c>
      <c r="G174" s="3">
        <v>-2.32E-4</v>
      </c>
      <c r="H174" s="3">
        <v>-4.0000000000000003E-5</v>
      </c>
    </row>
    <row r="175" spans="1:8" x14ac:dyDescent="0.25">
      <c r="A175" s="9">
        <f t="shared" si="2"/>
        <v>599</v>
      </c>
      <c r="B175" s="2" t="s">
        <v>32</v>
      </c>
      <c r="C175" s="3">
        <v>-0.40248499999999998</v>
      </c>
      <c r="D175" s="3">
        <v>-1.77491</v>
      </c>
      <c r="E175" s="3">
        <v>-13.18145</v>
      </c>
      <c r="F175" s="3">
        <v>-1.3699999999999999E-3</v>
      </c>
      <c r="G175" s="3">
        <v>-2.9700000000000001E-4</v>
      </c>
      <c r="H175" s="3">
        <v>-3.8000000000000002E-5</v>
      </c>
    </row>
    <row r="176" spans="1:8" x14ac:dyDescent="0.25">
      <c r="A176" s="9">
        <f t="shared" si="2"/>
        <v>612</v>
      </c>
      <c r="B176" s="2" t="s">
        <v>32</v>
      </c>
      <c r="C176" s="3">
        <v>-0.54176899999999995</v>
      </c>
      <c r="D176" s="3">
        <v>-1.2061980000000001</v>
      </c>
      <c r="E176" s="3">
        <v>-4.9192299999999998</v>
      </c>
      <c r="F176" s="3">
        <v>-4.73E-4</v>
      </c>
      <c r="G176" s="3">
        <v>-6.2799999999999998E-4</v>
      </c>
      <c r="H176" s="3">
        <v>-7.2999999999999999E-5</v>
      </c>
    </row>
    <row r="177" spans="1:8" x14ac:dyDescent="0.25">
      <c r="A177" s="9">
        <f t="shared" si="2"/>
        <v>619</v>
      </c>
      <c r="B177" s="2" t="s">
        <v>32</v>
      </c>
      <c r="C177" s="3">
        <v>-0.65874299999999997</v>
      </c>
      <c r="D177" s="3">
        <v>-0.80049599999999999</v>
      </c>
      <c r="E177" s="3">
        <v>0</v>
      </c>
      <c r="F177" s="3">
        <v>-1.2799999999999999E-4</v>
      </c>
      <c r="G177" s="3">
        <v>-6.9300000000000004E-4</v>
      </c>
      <c r="H177" s="3">
        <v>-9.7999999999999997E-5</v>
      </c>
    </row>
    <row r="178" spans="1:8" x14ac:dyDescent="0.25">
      <c r="A178" s="9">
        <f t="shared" si="2"/>
        <v>625</v>
      </c>
      <c r="B178" s="2" t="s">
        <v>32</v>
      </c>
      <c r="C178" s="3">
        <v>-0.70314399999999999</v>
      </c>
      <c r="D178" s="3">
        <v>-1.151413</v>
      </c>
      <c r="E178" s="3">
        <v>-4.7066610000000004</v>
      </c>
      <c r="F178" s="3">
        <v>-4.7100000000000001E-4</v>
      </c>
      <c r="G178" s="3">
        <v>-6.3500000000000004E-4</v>
      </c>
      <c r="H178" s="3">
        <v>-1.0399999999999999E-4</v>
      </c>
    </row>
    <row r="179" spans="1:8" x14ac:dyDescent="0.25">
      <c r="A179" s="9">
        <f t="shared" si="2"/>
        <v>638</v>
      </c>
      <c r="B179" s="2" t="s">
        <v>32</v>
      </c>
      <c r="C179" s="3">
        <v>-0.52363300000000002</v>
      </c>
      <c r="D179" s="3">
        <v>-1.514073</v>
      </c>
      <c r="E179" s="3">
        <v>-13.061911</v>
      </c>
      <c r="F179" s="3">
        <v>-1.1659999999999999E-3</v>
      </c>
      <c r="G179" s="3">
        <v>-4.6700000000000002E-4</v>
      </c>
      <c r="H179" s="3">
        <v>-5.0000000000000002E-5</v>
      </c>
    </row>
    <row r="180" spans="1:8" x14ac:dyDescent="0.25">
      <c r="A180" s="9">
        <f t="shared" si="2"/>
        <v>651</v>
      </c>
      <c r="B180" s="2" t="s">
        <v>32</v>
      </c>
      <c r="C180" s="3">
        <v>-0.53869100000000003</v>
      </c>
      <c r="D180" s="3">
        <v>-1.61138</v>
      </c>
      <c r="E180" s="3">
        <v>-16.47898</v>
      </c>
      <c r="F180" s="3">
        <v>-1.4040000000000001E-3</v>
      </c>
      <c r="G180" s="3">
        <v>-4.1899999999999999E-4</v>
      </c>
      <c r="H180" s="3">
        <v>-4.1999999999999998E-5</v>
      </c>
    </row>
    <row r="181" spans="1:8" x14ac:dyDescent="0.25">
      <c r="A181" s="9">
        <f t="shared" si="2"/>
        <v>664</v>
      </c>
      <c r="B181" s="2" t="s">
        <v>32</v>
      </c>
      <c r="C181" s="3">
        <v>-0.56042199999999998</v>
      </c>
      <c r="D181" s="3">
        <v>-1.5073380000000001</v>
      </c>
      <c r="E181" s="3">
        <v>-13.702856000000001</v>
      </c>
      <c r="F181" s="3">
        <v>-1.1800000000000001E-3</v>
      </c>
      <c r="G181" s="3">
        <v>-4.95E-4</v>
      </c>
      <c r="H181" s="3">
        <v>-4.0000000000000003E-5</v>
      </c>
    </row>
    <row r="182" spans="1:8" x14ac:dyDescent="0.25">
      <c r="A182" s="9">
        <f t="shared" si="2"/>
        <v>677</v>
      </c>
      <c r="B182" s="2" t="s">
        <v>32</v>
      </c>
      <c r="C182" s="3">
        <v>-0.78010500000000005</v>
      </c>
      <c r="D182" s="3">
        <v>-1.1355310000000001</v>
      </c>
      <c r="E182" s="3">
        <v>-5.1655610000000003</v>
      </c>
      <c r="F182" s="3">
        <v>-4.5300000000000001E-4</v>
      </c>
      <c r="G182" s="3">
        <v>-7.5900000000000002E-4</v>
      </c>
      <c r="H182" s="3">
        <v>-6.8999999999999997E-5</v>
      </c>
    </row>
    <row r="183" spans="1:8" x14ac:dyDescent="0.25">
      <c r="A183" s="9">
        <f t="shared" si="2"/>
        <v>684</v>
      </c>
      <c r="B183" s="2" t="s">
        <v>32</v>
      </c>
      <c r="C183" s="3">
        <v>-0.91108999999999996</v>
      </c>
      <c r="D183" s="3">
        <v>-0.76953099999999997</v>
      </c>
      <c r="E183" s="3">
        <v>0</v>
      </c>
      <c r="F183" s="3">
        <v>-2.4899999999999998E-4</v>
      </c>
      <c r="G183" s="3">
        <v>-7.6400000000000003E-4</v>
      </c>
      <c r="H183" s="3">
        <v>-9.8999999999999994E-5</v>
      </c>
    </row>
    <row r="184" spans="1:8" x14ac:dyDescent="0.25">
      <c r="A184" s="9">
        <f t="shared" si="2"/>
        <v>690</v>
      </c>
      <c r="B184" s="2" t="s">
        <v>32</v>
      </c>
      <c r="C184" s="3">
        <v>-0.94058699999999995</v>
      </c>
      <c r="D184" s="3">
        <v>-1.2020029999999999</v>
      </c>
      <c r="E184" s="3">
        <v>-5.2890300000000003</v>
      </c>
      <c r="F184" s="3">
        <v>-5.2899999999999996E-4</v>
      </c>
      <c r="G184" s="3">
        <v>-5.9699999999999998E-4</v>
      </c>
      <c r="H184" s="3">
        <v>-1.03E-4</v>
      </c>
    </row>
    <row r="185" spans="1:8" x14ac:dyDescent="0.25">
      <c r="A185" s="9">
        <f t="shared" si="2"/>
        <v>703</v>
      </c>
      <c r="B185" s="2" t="s">
        <v>32</v>
      </c>
      <c r="C185" s="3">
        <v>-0.895173</v>
      </c>
      <c r="D185" s="3">
        <v>-1.55684</v>
      </c>
      <c r="E185" s="3">
        <v>-14.294637</v>
      </c>
      <c r="F185" s="3">
        <v>-1.1460000000000001E-3</v>
      </c>
      <c r="G185" s="3">
        <v>-6.1300000000000005E-4</v>
      </c>
      <c r="H185" s="3">
        <v>-4.6999999999999997E-5</v>
      </c>
    </row>
    <row r="186" spans="1:8" x14ac:dyDescent="0.25">
      <c r="A186" s="9">
        <f t="shared" si="2"/>
        <v>716</v>
      </c>
      <c r="B186" s="2" t="s">
        <v>32</v>
      </c>
      <c r="C186" s="3">
        <v>-0.93278000000000005</v>
      </c>
      <c r="D186" s="3">
        <v>-1.597753</v>
      </c>
      <c r="E186" s="3">
        <v>-17.52919</v>
      </c>
      <c r="F186" s="3">
        <v>-1.361E-3</v>
      </c>
      <c r="G186" s="3">
        <v>-6.0499999999999996E-4</v>
      </c>
      <c r="H186" s="3">
        <v>-3.8999999999999999E-5</v>
      </c>
    </row>
    <row r="187" spans="1:8" x14ac:dyDescent="0.25">
      <c r="A187" s="9">
        <f t="shared" si="2"/>
        <v>729</v>
      </c>
      <c r="B187" s="2" t="s">
        <v>32</v>
      </c>
      <c r="C187" s="3">
        <v>-0.93110999999999999</v>
      </c>
      <c r="D187" s="3">
        <v>-1.4667079999999999</v>
      </c>
      <c r="E187" s="3">
        <v>-14.309628</v>
      </c>
      <c r="F187" s="3">
        <v>-1.155E-3</v>
      </c>
      <c r="G187" s="3">
        <v>-6.4999999999999997E-4</v>
      </c>
      <c r="H187" s="3">
        <v>-3.6000000000000001E-5</v>
      </c>
    </row>
    <row r="188" spans="1:8" x14ac:dyDescent="0.25">
      <c r="A188" s="9">
        <f t="shared" si="2"/>
        <v>742</v>
      </c>
      <c r="B188" s="2" t="s">
        <v>32</v>
      </c>
      <c r="C188" s="3">
        <v>-1.06847</v>
      </c>
      <c r="D188" s="3">
        <v>-1.2270000000000001</v>
      </c>
      <c r="E188" s="3">
        <v>-5.3041090000000004</v>
      </c>
      <c r="F188" s="3">
        <v>-4.5899999999999999E-4</v>
      </c>
      <c r="G188" s="3">
        <v>-7.5799999999999999E-4</v>
      </c>
      <c r="H188" s="3">
        <v>-6.7000000000000002E-5</v>
      </c>
    </row>
    <row r="189" spans="1:8" x14ac:dyDescent="0.25">
      <c r="A189" s="9">
        <f t="shared" si="2"/>
        <v>749</v>
      </c>
      <c r="B189" s="2" t="s">
        <v>32</v>
      </c>
      <c r="C189" s="3">
        <v>-1.172183</v>
      </c>
      <c r="D189" s="3">
        <v>-0.89603100000000002</v>
      </c>
      <c r="E189" s="3">
        <v>0</v>
      </c>
      <c r="F189" s="3">
        <v>-3.6499999999999998E-4</v>
      </c>
      <c r="G189" s="3">
        <v>-7.1400000000000001E-4</v>
      </c>
      <c r="H189" s="3">
        <v>-9.7E-5</v>
      </c>
    </row>
    <row r="190" spans="1:8" x14ac:dyDescent="0.25">
      <c r="A190" s="9">
        <f t="shared" si="2"/>
        <v>755</v>
      </c>
      <c r="B190" s="2" t="s">
        <v>32</v>
      </c>
      <c r="C190" s="3">
        <v>-1.1971970000000001</v>
      </c>
      <c r="D190" s="3">
        <v>-1.2686710000000001</v>
      </c>
      <c r="E190" s="3">
        <v>-5.3019220000000002</v>
      </c>
      <c r="F190" s="3">
        <v>-5.9699999999999998E-4</v>
      </c>
      <c r="G190" s="3">
        <v>-5.13E-4</v>
      </c>
      <c r="H190" s="3">
        <v>-1E-4</v>
      </c>
    </row>
    <row r="191" spans="1:8" x14ac:dyDescent="0.25">
      <c r="A191" s="9">
        <f t="shared" si="2"/>
        <v>768</v>
      </c>
      <c r="B191" s="2" t="s">
        <v>32</v>
      </c>
      <c r="C191" s="3">
        <v>-1.3172509999999999</v>
      </c>
      <c r="D191" s="3">
        <v>-1.5720749999999999</v>
      </c>
      <c r="E191" s="3">
        <v>-14.178573999999999</v>
      </c>
      <c r="F191" s="3">
        <v>-1.024E-3</v>
      </c>
      <c r="G191" s="3">
        <v>-7.2199999999999999E-4</v>
      </c>
      <c r="H191" s="3">
        <v>-4.5000000000000003E-5</v>
      </c>
    </row>
    <row r="192" spans="1:8" x14ac:dyDescent="0.25">
      <c r="A192" s="9">
        <f t="shared" si="2"/>
        <v>781</v>
      </c>
      <c r="B192" s="2" t="s">
        <v>32</v>
      </c>
      <c r="C192" s="3">
        <v>-1.3309310000000001</v>
      </c>
      <c r="D192" s="3">
        <v>-1.649457</v>
      </c>
      <c r="E192" s="3">
        <v>-17.304666000000001</v>
      </c>
      <c r="F192" s="3">
        <v>-1.2340000000000001E-3</v>
      </c>
      <c r="G192" s="3">
        <v>-7.7300000000000003E-4</v>
      </c>
      <c r="H192" s="3">
        <v>-3.6999999999999998E-5</v>
      </c>
    </row>
    <row r="193" spans="1:8" x14ac:dyDescent="0.25">
      <c r="A193" s="9">
        <f t="shared" si="2"/>
        <v>794</v>
      </c>
      <c r="B193" s="2" t="s">
        <v>32</v>
      </c>
      <c r="C193" s="3">
        <v>-1.261752</v>
      </c>
      <c r="D193" s="3">
        <v>-1.5832360000000001</v>
      </c>
      <c r="E193" s="3">
        <v>-14.052462999999999</v>
      </c>
      <c r="F193" s="3">
        <v>-1.0269999999999999E-3</v>
      </c>
      <c r="G193" s="3">
        <v>-7.4299999999999995E-4</v>
      </c>
      <c r="H193" s="3">
        <v>-3.6000000000000001E-5</v>
      </c>
    </row>
    <row r="194" spans="1:8" x14ac:dyDescent="0.25">
      <c r="A194" s="9">
        <f t="shared" si="2"/>
        <v>807</v>
      </c>
      <c r="B194" s="2" t="s">
        <v>32</v>
      </c>
      <c r="C194" s="3">
        <v>-1.3005169999999999</v>
      </c>
      <c r="D194" s="3">
        <v>-1.543841</v>
      </c>
      <c r="E194" s="3">
        <v>-5.1660760000000003</v>
      </c>
      <c r="F194" s="3">
        <v>-4.5399999999999998E-4</v>
      </c>
      <c r="G194" s="3">
        <v>-7.3700000000000002E-4</v>
      </c>
      <c r="H194" s="3">
        <v>-6.6000000000000005E-5</v>
      </c>
    </row>
    <row r="195" spans="1:8" x14ac:dyDescent="0.25">
      <c r="A195" s="9">
        <f t="shared" si="2"/>
        <v>814</v>
      </c>
      <c r="B195" s="2" t="s">
        <v>32</v>
      </c>
      <c r="C195" s="3">
        <v>-1.3745860000000001</v>
      </c>
      <c r="D195" s="3">
        <v>-1.300249</v>
      </c>
      <c r="E195" s="3">
        <v>0</v>
      </c>
      <c r="F195" s="3">
        <v>-4.5100000000000001E-4</v>
      </c>
      <c r="G195" s="3">
        <v>-6.3400000000000001E-4</v>
      </c>
      <c r="H195" s="3">
        <v>-9.3999999999999994E-5</v>
      </c>
    </row>
    <row r="196" spans="1:8" x14ac:dyDescent="0.25">
      <c r="A196" s="9">
        <f t="shared" si="2"/>
        <v>821</v>
      </c>
      <c r="B196" s="2" t="s">
        <v>32</v>
      </c>
      <c r="C196" s="3">
        <v>-1.4095580000000001</v>
      </c>
      <c r="D196" s="3">
        <v>-1.6731210000000001</v>
      </c>
      <c r="E196" s="3">
        <v>-5.1680149999999996</v>
      </c>
      <c r="F196" s="3">
        <v>-6.11E-4</v>
      </c>
      <c r="G196" s="3">
        <v>-4.6500000000000003E-4</v>
      </c>
      <c r="H196" s="3">
        <v>-1.01E-4</v>
      </c>
    </row>
    <row r="197" spans="1:8" x14ac:dyDescent="0.25">
      <c r="A197" s="9">
        <f t="shared" si="2"/>
        <v>834</v>
      </c>
      <c r="B197" s="2" t="s">
        <v>32</v>
      </c>
      <c r="C197" s="3">
        <v>-1.5481860000000001</v>
      </c>
      <c r="D197" s="3">
        <v>-1.803207</v>
      </c>
      <c r="E197" s="3">
        <v>-13.574721</v>
      </c>
      <c r="F197" s="3">
        <v>-8.3000000000000001E-4</v>
      </c>
      <c r="G197" s="3">
        <v>-7.5600000000000005E-4</v>
      </c>
      <c r="H197" s="3">
        <v>-4.5000000000000003E-5</v>
      </c>
    </row>
    <row r="198" spans="1:8" x14ac:dyDescent="0.25">
      <c r="A198" s="9">
        <f t="shared" si="2"/>
        <v>847</v>
      </c>
      <c r="B198" s="2" t="s">
        <v>32</v>
      </c>
      <c r="C198" s="3">
        <v>-1.5998220000000001</v>
      </c>
      <c r="D198" s="3">
        <v>-1.677864</v>
      </c>
      <c r="E198" s="3">
        <v>-16.046122</v>
      </c>
      <c r="F198" s="3">
        <v>-9.6500000000000004E-4</v>
      </c>
      <c r="G198" s="3">
        <v>-8.3199999999999995E-4</v>
      </c>
      <c r="H198" s="3">
        <v>-3.8000000000000002E-5</v>
      </c>
    </row>
    <row r="199" spans="1:8" x14ac:dyDescent="0.25">
      <c r="A199" s="9">
        <f t="shared" si="2"/>
        <v>860</v>
      </c>
      <c r="B199" s="2" t="s">
        <v>32</v>
      </c>
      <c r="C199" s="3">
        <v>-1.5933189999999999</v>
      </c>
      <c r="D199" s="3">
        <v>-1.5510280000000001</v>
      </c>
      <c r="E199" s="3">
        <v>-12.461992</v>
      </c>
      <c r="F199" s="3">
        <v>-8.4900000000000004E-4</v>
      </c>
      <c r="G199" s="3">
        <v>-7.7099999999999998E-4</v>
      </c>
      <c r="H199" s="3">
        <v>-3.6999999999999998E-5</v>
      </c>
    </row>
    <row r="200" spans="1:8" x14ac:dyDescent="0.25">
      <c r="A200" s="9">
        <f t="shared" si="2"/>
        <v>873</v>
      </c>
      <c r="B200" s="2" t="s">
        <v>32</v>
      </c>
      <c r="C200" s="3">
        <v>-1.4819910000000001</v>
      </c>
      <c r="D200" s="3">
        <v>-1.374633</v>
      </c>
      <c r="E200" s="3">
        <v>-4.3052989999999998</v>
      </c>
      <c r="F200" s="3">
        <v>-4.2000000000000002E-4</v>
      </c>
      <c r="G200" s="3">
        <v>-6.1899999999999998E-4</v>
      </c>
      <c r="H200" s="3">
        <v>-6.3E-5</v>
      </c>
    </row>
    <row r="201" spans="1:8" x14ac:dyDescent="0.25">
      <c r="A201" s="9">
        <f t="shared" si="2"/>
        <v>879</v>
      </c>
      <c r="B201" s="2" t="s">
        <v>32</v>
      </c>
      <c r="C201" s="3">
        <v>-1.4790779999999999</v>
      </c>
      <c r="D201" s="3">
        <v>-1.2695050000000001</v>
      </c>
      <c r="E201" s="3">
        <v>0</v>
      </c>
      <c r="F201" s="3">
        <v>-4.2499999999999998E-4</v>
      </c>
      <c r="G201" s="3">
        <v>-4.15E-4</v>
      </c>
      <c r="H201" s="3">
        <v>-8.7999999999999998E-5</v>
      </c>
    </row>
    <row r="202" spans="1:8" x14ac:dyDescent="0.25">
      <c r="A202" s="9">
        <f t="shared" si="2"/>
        <v>886</v>
      </c>
      <c r="B202" s="2" t="s">
        <v>32</v>
      </c>
      <c r="C202" s="3">
        <v>-1.623537</v>
      </c>
      <c r="D202" s="3">
        <v>-1.391176</v>
      </c>
      <c r="E202" s="3">
        <v>-3.8268659999999999</v>
      </c>
      <c r="F202" s="3">
        <v>-4.6200000000000001E-4</v>
      </c>
      <c r="G202" s="3">
        <v>-3.4499999999999998E-4</v>
      </c>
      <c r="H202" s="3">
        <v>-9.5000000000000005E-5</v>
      </c>
    </row>
    <row r="203" spans="1:8" x14ac:dyDescent="0.25">
      <c r="A203" s="9">
        <f t="shared" si="2"/>
        <v>897</v>
      </c>
      <c r="B203" s="2" t="s">
        <v>32</v>
      </c>
      <c r="C203" s="3">
        <v>-2.2190650000000001</v>
      </c>
      <c r="D203" s="3">
        <v>-1.250006</v>
      </c>
      <c r="E203" s="3">
        <v>-8.9175570000000004</v>
      </c>
      <c r="F203" s="3">
        <v>-4.5199999999999998E-4</v>
      </c>
      <c r="G203" s="3">
        <v>-5.6300000000000002E-4</v>
      </c>
      <c r="H203" s="3">
        <v>-6.6000000000000005E-5</v>
      </c>
    </row>
    <row r="204" spans="1:8" x14ac:dyDescent="0.25">
      <c r="A204" s="9">
        <f t="shared" si="2"/>
        <v>907</v>
      </c>
      <c r="B204" s="2" t="s">
        <v>32</v>
      </c>
      <c r="C204" s="3">
        <v>-2.61951</v>
      </c>
      <c r="D204" s="3">
        <v>-1.168955</v>
      </c>
      <c r="E204" s="3">
        <v>-9.7754899999999996</v>
      </c>
      <c r="F204" s="3">
        <v>-4.3300000000000001E-4</v>
      </c>
      <c r="G204" s="3">
        <v>-5.3799999999999996E-4</v>
      </c>
      <c r="H204" s="3">
        <v>-6.3E-5</v>
      </c>
    </row>
    <row r="205" spans="1:8" x14ac:dyDescent="0.25">
      <c r="A205" s="9">
        <f t="shared" si="2"/>
        <v>918</v>
      </c>
      <c r="B205" s="2" t="s">
        <v>32</v>
      </c>
      <c r="C205" s="3">
        <v>-3.0320589999999998</v>
      </c>
      <c r="D205" s="3">
        <v>-0.91979100000000003</v>
      </c>
      <c r="E205" s="3">
        <v>-6.8573719999999998</v>
      </c>
      <c r="F205" s="3">
        <v>-3.6299999999999999E-4</v>
      </c>
      <c r="G205" s="3">
        <v>-3.7199999999999999E-4</v>
      </c>
      <c r="H205" s="3">
        <v>-6.3999999999999997E-5</v>
      </c>
    </row>
    <row r="206" spans="1:8" ht="15.75" thickBot="1" x14ac:dyDescent="0.3">
      <c r="A206" s="19">
        <f t="shared" si="2"/>
        <v>930</v>
      </c>
      <c r="B206" s="18" t="s">
        <v>32</v>
      </c>
      <c r="C206" s="20">
        <v>-3.4831720000000002</v>
      </c>
      <c r="D206" s="20">
        <v>-0.63580000000000003</v>
      </c>
      <c r="E206" s="20">
        <v>0</v>
      </c>
      <c r="F206" s="20">
        <v>-4.6799999999999999E-4</v>
      </c>
      <c r="G206" s="20">
        <v>-1.8000000000000001E-4</v>
      </c>
      <c r="H206" s="20">
        <v>-6.2000000000000003E-5</v>
      </c>
    </row>
    <row r="207" spans="1:8" ht="15.75" thickTop="1" x14ac:dyDescent="0.25">
      <c r="A207" s="16">
        <f t="shared" si="2"/>
        <v>500</v>
      </c>
      <c r="B207" s="2" t="s">
        <v>18</v>
      </c>
      <c r="C207" s="3">
        <v>-7.5470350000000002</v>
      </c>
      <c r="D207" s="3">
        <v>-7.5245000000000006E-2</v>
      </c>
      <c r="E207" s="3">
        <v>0</v>
      </c>
      <c r="F207" s="3">
        <v>-2.0000000000000002E-5</v>
      </c>
      <c r="G207" s="3">
        <v>-2.5929999999999998E-3</v>
      </c>
      <c r="H207" s="3">
        <v>-6.4999999999999994E-5</v>
      </c>
    </row>
    <row r="208" spans="1:8" x14ac:dyDescent="0.25">
      <c r="A208" s="9">
        <f t="shared" si="2"/>
        <v>512</v>
      </c>
      <c r="B208" s="2" t="s">
        <v>18</v>
      </c>
      <c r="C208" s="3">
        <v>-5.3187410000000002</v>
      </c>
      <c r="D208" s="3">
        <v>5.6913460000000002</v>
      </c>
      <c r="E208" s="3">
        <v>-27.045915000000001</v>
      </c>
      <c r="F208" s="3">
        <v>-2.7060000000000001E-3</v>
      </c>
      <c r="G208" s="3">
        <v>-1.407E-3</v>
      </c>
      <c r="H208" s="3">
        <v>-4.8000000000000001E-5</v>
      </c>
    </row>
    <row r="209" spans="1:8" x14ac:dyDescent="0.25">
      <c r="A209" s="9">
        <f t="shared" si="2"/>
        <v>524</v>
      </c>
      <c r="B209" s="2" t="s">
        <v>18</v>
      </c>
      <c r="C209" s="3">
        <v>-1.4205460000000001</v>
      </c>
      <c r="D209" s="3">
        <v>3.5665429999999998</v>
      </c>
      <c r="E209" s="3">
        <v>-32.41751</v>
      </c>
      <c r="F209" s="3">
        <v>-1.389E-3</v>
      </c>
      <c r="G209" s="3">
        <v>4.9200000000000003E-4</v>
      </c>
      <c r="H209" s="3">
        <v>-4.6E-5</v>
      </c>
    </row>
    <row r="210" spans="1:8" x14ac:dyDescent="0.25">
      <c r="A210" s="9">
        <f t="shared" si="2"/>
        <v>535</v>
      </c>
      <c r="B210" s="2" t="s">
        <v>18</v>
      </c>
      <c r="C210" s="3">
        <v>0.64559999999999995</v>
      </c>
      <c r="D210" s="3">
        <v>0.75784399999999996</v>
      </c>
      <c r="E210" s="3">
        <v>-20.362183999999999</v>
      </c>
      <c r="F210" s="3">
        <v>1.92E-4</v>
      </c>
      <c r="G210" s="3">
        <v>1.5269999999999999E-3</v>
      </c>
      <c r="H210" s="3">
        <v>-2.0999999999999999E-5</v>
      </c>
    </row>
    <row r="211" spans="1:8" x14ac:dyDescent="0.25">
      <c r="A211" s="9">
        <f t="shared" si="2"/>
        <v>547</v>
      </c>
      <c r="B211" s="2" t="s">
        <v>18</v>
      </c>
      <c r="C211" s="3">
        <v>-0.48786099999999999</v>
      </c>
      <c r="D211" s="3">
        <v>-5.2653080000000001</v>
      </c>
      <c r="E211" s="3">
        <v>-3.7473890000000001</v>
      </c>
      <c r="F211" s="3">
        <v>3.3630000000000001E-3</v>
      </c>
      <c r="G211" s="3">
        <v>9.0200000000000002E-4</v>
      </c>
      <c r="H211" s="3">
        <v>7.3999999999999996E-5</v>
      </c>
    </row>
    <row r="212" spans="1:8" x14ac:dyDescent="0.25">
      <c r="A212" s="9">
        <f t="shared" si="2"/>
        <v>554</v>
      </c>
      <c r="B212" s="2" t="s">
        <v>18</v>
      </c>
      <c r="C212" s="3">
        <v>-1.9141140000000001</v>
      </c>
      <c r="D212" s="3">
        <v>-0.28286099999999997</v>
      </c>
      <c r="E212" s="3">
        <v>0</v>
      </c>
      <c r="F212" s="3">
        <v>8.0000000000000007E-5</v>
      </c>
      <c r="G212" s="3">
        <v>2.3E-5</v>
      </c>
      <c r="H212" s="3">
        <v>3.4999999999999997E-5</v>
      </c>
    </row>
    <row r="213" spans="1:8" x14ac:dyDescent="0.25">
      <c r="A213" s="9">
        <f t="shared" si="2"/>
        <v>560</v>
      </c>
      <c r="B213" s="2" t="s">
        <v>18</v>
      </c>
      <c r="C213" s="3">
        <v>-2.940604</v>
      </c>
      <c r="D213" s="3">
        <v>-6.5195480000000003</v>
      </c>
      <c r="E213" s="3">
        <v>-3.4984060000000001</v>
      </c>
      <c r="F213" s="3">
        <v>3.8670000000000002E-3</v>
      </c>
      <c r="G213" s="3">
        <v>-6.0300000000000002E-4</v>
      </c>
      <c r="H213" s="3">
        <v>-1.9999999999999999E-6</v>
      </c>
    </row>
    <row r="214" spans="1:8" x14ac:dyDescent="0.25">
      <c r="A214" s="9">
        <f t="shared" si="2"/>
        <v>573</v>
      </c>
      <c r="B214" s="2" t="s">
        <v>18</v>
      </c>
      <c r="C214" s="3">
        <v>-5.0174859999999999</v>
      </c>
      <c r="D214" s="3">
        <v>4.9992159999999997</v>
      </c>
      <c r="E214" s="3">
        <v>-22.170235999999999</v>
      </c>
      <c r="F214" s="3">
        <v>-2.6359999999999999E-3</v>
      </c>
      <c r="G214" s="3">
        <v>-1.75E-3</v>
      </c>
      <c r="H214" s="3">
        <v>1.5999999999999999E-5</v>
      </c>
    </row>
    <row r="215" spans="1:8" x14ac:dyDescent="0.25">
      <c r="A215" s="9">
        <f t="shared" si="2"/>
        <v>586</v>
      </c>
      <c r="B215" s="2" t="s">
        <v>18</v>
      </c>
      <c r="C215" s="3">
        <v>-4.0175239999999999</v>
      </c>
      <c r="D215" s="3">
        <v>22.521049000000001</v>
      </c>
      <c r="E215" s="3">
        <v>-34.358977000000003</v>
      </c>
      <c r="F215" s="3">
        <v>-1.1573999999999999E-2</v>
      </c>
      <c r="G215" s="3">
        <v>-1.2489999999999999E-3</v>
      </c>
      <c r="H215" s="3">
        <v>7.9999999999999996E-6</v>
      </c>
    </row>
    <row r="216" spans="1:8" x14ac:dyDescent="0.25">
      <c r="A216" s="9">
        <f t="shared" si="2"/>
        <v>599</v>
      </c>
      <c r="B216" s="2" t="s">
        <v>18</v>
      </c>
      <c r="C216" s="3">
        <v>0.70521299999999998</v>
      </c>
      <c r="D216" s="3">
        <v>6.118843</v>
      </c>
      <c r="E216" s="3">
        <v>-22.309515999999999</v>
      </c>
      <c r="F216" s="3">
        <v>-3.3289999999999999E-3</v>
      </c>
      <c r="G216" s="3">
        <v>1.1360000000000001E-3</v>
      </c>
      <c r="H216" s="3">
        <v>1.5999999999999999E-5</v>
      </c>
    </row>
    <row r="217" spans="1:8" x14ac:dyDescent="0.25">
      <c r="A217" s="9">
        <f t="shared" si="2"/>
        <v>612</v>
      </c>
      <c r="B217" s="2" t="s">
        <v>18</v>
      </c>
      <c r="C217" s="3">
        <v>1.1727190000000001</v>
      </c>
      <c r="D217" s="3">
        <v>-6.7521690000000003</v>
      </c>
      <c r="E217" s="3">
        <v>-3.135049</v>
      </c>
      <c r="F217" s="3">
        <v>4.0029999999999996E-3</v>
      </c>
      <c r="G217" s="3">
        <v>1.4189999999999999E-3</v>
      </c>
      <c r="H217" s="3">
        <v>-3.0000000000000001E-6</v>
      </c>
    </row>
    <row r="218" spans="1:8" x14ac:dyDescent="0.25">
      <c r="A218" s="9">
        <f t="shared" si="2"/>
        <v>619</v>
      </c>
      <c r="B218" s="2" t="s">
        <v>18</v>
      </c>
      <c r="C218" s="3">
        <v>-1.298257</v>
      </c>
      <c r="D218" s="3">
        <v>-0.573492</v>
      </c>
      <c r="E218" s="3">
        <v>0</v>
      </c>
      <c r="F218" s="3">
        <v>6.8999999999999997E-5</v>
      </c>
      <c r="G218" s="3">
        <v>-1.35E-4</v>
      </c>
      <c r="H218" s="3">
        <v>2.4000000000000001E-5</v>
      </c>
    </row>
    <row r="219" spans="1:8" x14ac:dyDescent="0.25">
      <c r="A219" s="9">
        <f t="shared" si="2"/>
        <v>625</v>
      </c>
      <c r="B219" s="2" t="s">
        <v>18</v>
      </c>
      <c r="C219" s="3">
        <v>-1.4346449999999999</v>
      </c>
      <c r="D219" s="3">
        <v>-7.1469529999999999</v>
      </c>
      <c r="E219" s="3">
        <v>-4.9177169999999997</v>
      </c>
      <c r="F219" s="3">
        <v>4.0879999999999996E-3</v>
      </c>
      <c r="G219" s="3">
        <v>-2.31E-4</v>
      </c>
      <c r="H219" s="3">
        <v>3.6999999999999998E-5</v>
      </c>
    </row>
    <row r="220" spans="1:8" x14ac:dyDescent="0.25">
      <c r="A220" s="9">
        <f t="shared" si="2"/>
        <v>638</v>
      </c>
      <c r="B220" s="2" t="s">
        <v>18</v>
      </c>
      <c r="C220" s="3">
        <v>-5.0547890000000004</v>
      </c>
      <c r="D220" s="3">
        <v>4.0627170000000001</v>
      </c>
      <c r="E220" s="3">
        <v>-26.461856000000001</v>
      </c>
      <c r="F220" s="3">
        <v>-2.7889999999999998E-3</v>
      </c>
      <c r="G220" s="3">
        <v>-2.4090000000000001E-3</v>
      </c>
      <c r="H220" s="3">
        <v>1.4E-5</v>
      </c>
    </row>
    <row r="221" spans="1:8" x14ac:dyDescent="0.25">
      <c r="A221" s="9">
        <f t="shared" si="2"/>
        <v>651</v>
      </c>
      <c r="B221" s="2" t="s">
        <v>18</v>
      </c>
      <c r="C221" s="3">
        <v>-6.6305389999999997</v>
      </c>
      <c r="D221" s="3">
        <v>22.986052000000001</v>
      </c>
      <c r="E221" s="3">
        <v>-39.578184</v>
      </c>
      <c r="F221" s="3">
        <v>-1.2305E-2</v>
      </c>
      <c r="G221" s="3">
        <v>-3.1870000000000002E-3</v>
      </c>
      <c r="H221" s="3">
        <v>-3.1999999999999999E-5</v>
      </c>
    </row>
    <row r="222" spans="1:8" x14ac:dyDescent="0.25">
      <c r="A222" s="9">
        <f t="shared" si="2"/>
        <v>664</v>
      </c>
      <c r="B222" s="2" t="s">
        <v>18</v>
      </c>
      <c r="C222" s="3">
        <v>1.019552</v>
      </c>
      <c r="D222" s="3">
        <v>6.1173719999999996</v>
      </c>
      <c r="E222" s="3">
        <v>-26.15448</v>
      </c>
      <c r="F222" s="3">
        <v>-3.519E-3</v>
      </c>
      <c r="G222" s="3">
        <v>7.5900000000000002E-4</v>
      </c>
      <c r="H222" s="3">
        <v>-6.0999999999999999E-5</v>
      </c>
    </row>
    <row r="223" spans="1:8" x14ac:dyDescent="0.25">
      <c r="A223" s="9">
        <f t="shared" si="2"/>
        <v>677</v>
      </c>
      <c r="B223" s="2" t="s">
        <v>18</v>
      </c>
      <c r="C223" s="3">
        <v>3.794349</v>
      </c>
      <c r="D223" s="3">
        <v>-7.1276020000000004</v>
      </c>
      <c r="E223" s="3">
        <v>-4.7319680000000002</v>
      </c>
      <c r="F223" s="3">
        <v>4.1359999999999999E-3</v>
      </c>
      <c r="G223" s="3">
        <v>2.4099999999999998E-3</v>
      </c>
      <c r="H223" s="3">
        <v>1.9999999999999999E-6</v>
      </c>
    </row>
    <row r="224" spans="1:8" x14ac:dyDescent="0.25">
      <c r="A224" s="9">
        <f t="shared" si="2"/>
        <v>684</v>
      </c>
      <c r="B224" s="2" t="s">
        <v>18</v>
      </c>
      <c r="C224" s="3">
        <v>0.18201899999999999</v>
      </c>
      <c r="D224" s="3">
        <v>-0.52372700000000005</v>
      </c>
      <c r="E224" s="3">
        <v>0</v>
      </c>
      <c r="F224" s="3">
        <v>7.1000000000000005E-5</v>
      </c>
      <c r="G224" s="3">
        <v>2.04E-4</v>
      </c>
      <c r="H224" s="3">
        <v>-1.0000000000000001E-5</v>
      </c>
    </row>
    <row r="225" spans="1:8" x14ac:dyDescent="0.25">
      <c r="A225" s="9">
        <f t="shared" si="2"/>
        <v>690</v>
      </c>
      <c r="B225" s="2" t="s">
        <v>18</v>
      </c>
      <c r="C225" s="3">
        <v>1.411027</v>
      </c>
      <c r="D225" s="3">
        <v>-8.0435780000000001</v>
      </c>
      <c r="E225" s="3">
        <v>-2.6284329999999998</v>
      </c>
      <c r="F225" s="3">
        <v>4.777E-3</v>
      </c>
      <c r="G225" s="3">
        <v>1.005E-3</v>
      </c>
      <c r="H225" s="3">
        <v>-3.6000000000000001E-5</v>
      </c>
    </row>
    <row r="226" spans="1:8" x14ac:dyDescent="0.25">
      <c r="A226" s="9">
        <f t="shared" si="2"/>
        <v>703</v>
      </c>
      <c r="B226" s="2" t="s">
        <v>18</v>
      </c>
      <c r="C226" s="3">
        <v>-4.0791170000000001</v>
      </c>
      <c r="D226" s="3">
        <v>2.5435819999999998</v>
      </c>
      <c r="E226" s="3">
        <v>-20.369859999999999</v>
      </c>
      <c r="F226" s="3">
        <v>-1.2359999999999999E-3</v>
      </c>
      <c r="G226" s="3">
        <v>-2.0760000000000002E-3</v>
      </c>
      <c r="H226" s="3">
        <v>4.8000000000000001E-5</v>
      </c>
    </row>
    <row r="227" spans="1:8" x14ac:dyDescent="0.25">
      <c r="A227" s="9">
        <f t="shared" si="2"/>
        <v>716</v>
      </c>
      <c r="B227" s="2" t="s">
        <v>18</v>
      </c>
      <c r="C227" s="3">
        <v>-8.2418340000000008</v>
      </c>
      <c r="D227" s="3">
        <v>19.216456999999998</v>
      </c>
      <c r="E227" s="3">
        <v>-32.133791000000002</v>
      </c>
      <c r="F227" s="3">
        <v>-9.8080000000000007E-3</v>
      </c>
      <c r="G227" s="3">
        <v>-4.2310000000000004E-3</v>
      </c>
      <c r="H227" s="3">
        <v>3.9999999999999998E-6</v>
      </c>
    </row>
    <row r="228" spans="1:8" x14ac:dyDescent="0.25">
      <c r="A228" s="9">
        <f t="shared" si="2"/>
        <v>729</v>
      </c>
      <c r="B228" s="2" t="s">
        <v>18</v>
      </c>
      <c r="C228" s="3">
        <v>0.82473700000000005</v>
      </c>
      <c r="D228" s="3">
        <v>5.1653909999999996</v>
      </c>
      <c r="E228" s="3">
        <v>-20.767437999999999</v>
      </c>
      <c r="F228" s="3">
        <v>-2.6099999999999999E-3</v>
      </c>
      <c r="G228" s="3">
        <v>4.0299999999999998E-4</v>
      </c>
      <c r="H228" s="3">
        <v>-4.1E-5</v>
      </c>
    </row>
    <row r="229" spans="1:8" x14ac:dyDescent="0.25">
      <c r="A229" s="9">
        <f t="shared" si="2"/>
        <v>742</v>
      </c>
      <c r="B229" s="2" t="s">
        <v>18</v>
      </c>
      <c r="C229" s="3">
        <v>4.9817200000000001</v>
      </c>
      <c r="D229" s="3">
        <v>-6.4588840000000003</v>
      </c>
      <c r="E229" s="3">
        <v>-2.8967079999999998</v>
      </c>
      <c r="F229" s="3">
        <v>3.9550000000000002E-3</v>
      </c>
      <c r="G229" s="3">
        <v>2.7829999999999999E-3</v>
      </c>
      <c r="H229" s="3">
        <v>3.0000000000000001E-5</v>
      </c>
    </row>
    <row r="230" spans="1:8" x14ac:dyDescent="0.25">
      <c r="A230" s="9">
        <f t="shared" si="2"/>
        <v>749</v>
      </c>
      <c r="B230" s="2" t="s">
        <v>18</v>
      </c>
      <c r="C230" s="3">
        <v>0.41219299999999998</v>
      </c>
      <c r="D230" s="3">
        <v>-0.39835100000000001</v>
      </c>
      <c r="E230" s="3">
        <v>0</v>
      </c>
      <c r="F230" s="3">
        <v>1.6699999999999999E-4</v>
      </c>
      <c r="G230" s="3">
        <v>-4.1E-5</v>
      </c>
      <c r="H230" s="3">
        <v>1.9999999999999999E-6</v>
      </c>
    </row>
    <row r="231" spans="1:8" x14ac:dyDescent="0.25">
      <c r="A231" s="9">
        <f t="shared" si="2"/>
        <v>755</v>
      </c>
      <c r="B231" s="2" t="s">
        <v>18</v>
      </c>
      <c r="C231" s="3">
        <v>2.4743309999999998</v>
      </c>
      <c r="D231" s="3">
        <v>-7.0422219999999998</v>
      </c>
      <c r="E231" s="3">
        <v>-4.3148669999999996</v>
      </c>
      <c r="F231" s="3">
        <v>4.2849999999999997E-3</v>
      </c>
      <c r="G231" s="3">
        <v>1.261E-3</v>
      </c>
      <c r="H231" s="3">
        <v>-1.8E-5</v>
      </c>
    </row>
    <row r="232" spans="1:8" x14ac:dyDescent="0.25">
      <c r="A232" s="9">
        <f t="shared" si="2"/>
        <v>768</v>
      </c>
      <c r="B232" s="2" t="s">
        <v>18</v>
      </c>
      <c r="C232" s="3">
        <v>-4.7312219999999998</v>
      </c>
      <c r="D232" s="3">
        <v>3.292529</v>
      </c>
      <c r="E232" s="3">
        <v>-24.427782000000001</v>
      </c>
      <c r="F232" s="3">
        <v>-1.6750000000000001E-3</v>
      </c>
      <c r="G232" s="3">
        <v>-2.846E-3</v>
      </c>
      <c r="H232" s="3">
        <v>5.8999999999999998E-5</v>
      </c>
    </row>
    <row r="233" spans="1:8" x14ac:dyDescent="0.25">
      <c r="A233" s="9">
        <f t="shared" si="2"/>
        <v>781</v>
      </c>
      <c r="B233" s="2" t="s">
        <v>18</v>
      </c>
      <c r="C233" s="3">
        <v>-11.118166</v>
      </c>
      <c r="D233" s="3">
        <v>19.235196999999999</v>
      </c>
      <c r="E233" s="3">
        <v>-37.056567999999999</v>
      </c>
      <c r="F233" s="3">
        <v>-9.9399999999999992E-3</v>
      </c>
      <c r="G233" s="3">
        <v>-6.1900000000000002E-3</v>
      </c>
      <c r="H233" s="3">
        <v>1.2E-5</v>
      </c>
    </row>
    <row r="234" spans="1:8" x14ac:dyDescent="0.25">
      <c r="A234" s="9">
        <f t="shared" si="2"/>
        <v>794</v>
      </c>
      <c r="B234" s="2" t="s">
        <v>18</v>
      </c>
      <c r="C234" s="3">
        <v>0.20552500000000001</v>
      </c>
      <c r="D234" s="3">
        <v>6.7165100000000004</v>
      </c>
      <c r="E234" s="3">
        <v>-24.790492</v>
      </c>
      <c r="F234" s="3">
        <v>-3.5079999999999998E-3</v>
      </c>
      <c r="G234" s="3">
        <v>-3.9199999999999999E-4</v>
      </c>
      <c r="H234" s="3">
        <v>-5.3999999999999998E-5</v>
      </c>
    </row>
    <row r="235" spans="1:8" x14ac:dyDescent="0.25">
      <c r="A235" s="9">
        <f t="shared" si="2"/>
        <v>807</v>
      </c>
      <c r="B235" s="2" t="s">
        <v>18</v>
      </c>
      <c r="C235" s="3">
        <v>6.5149860000000004</v>
      </c>
      <c r="D235" s="3">
        <v>-4.5660769999999999</v>
      </c>
      <c r="E235" s="3">
        <v>-4.5099590000000003</v>
      </c>
      <c r="F235" s="3">
        <v>3.019E-3</v>
      </c>
      <c r="G235" s="3">
        <v>3.31E-3</v>
      </c>
      <c r="H235" s="3">
        <v>-2.0999999999999999E-5</v>
      </c>
    </row>
    <row r="236" spans="1:8" x14ac:dyDescent="0.25">
      <c r="A236" s="9">
        <f t="shared" ref="A236:A299" si="3">A195</f>
        <v>814</v>
      </c>
      <c r="B236" s="2" t="s">
        <v>18</v>
      </c>
      <c r="C236" s="3">
        <v>1.3240130000000001</v>
      </c>
      <c r="D236" s="3">
        <v>0.484657</v>
      </c>
      <c r="E236" s="3">
        <v>0</v>
      </c>
      <c r="F236" s="3">
        <v>1.0000000000000001E-5</v>
      </c>
      <c r="G236" s="3">
        <v>2.0599999999999999E-4</v>
      </c>
      <c r="H236" s="3">
        <v>-5.5999999999999999E-5</v>
      </c>
    </row>
    <row r="237" spans="1:8" x14ac:dyDescent="0.25">
      <c r="A237" s="9">
        <f t="shared" si="3"/>
        <v>821</v>
      </c>
      <c r="B237" s="2" t="s">
        <v>18</v>
      </c>
      <c r="C237" s="3">
        <v>4.2679179999999999</v>
      </c>
      <c r="D237" s="3">
        <v>-5.6210889999999996</v>
      </c>
      <c r="E237" s="3">
        <v>-2.5726209999999998</v>
      </c>
      <c r="F237" s="3">
        <v>3.9880000000000002E-3</v>
      </c>
      <c r="G237" s="3">
        <v>2.1970000000000002E-3</v>
      </c>
      <c r="H237" s="3">
        <v>-9.0000000000000006E-5</v>
      </c>
    </row>
    <row r="238" spans="1:8" x14ac:dyDescent="0.25">
      <c r="A238" s="9">
        <f t="shared" si="3"/>
        <v>834</v>
      </c>
      <c r="B238" s="2" t="s">
        <v>18</v>
      </c>
      <c r="C238" s="3">
        <v>-4.3396980000000003</v>
      </c>
      <c r="D238" s="3">
        <v>3.439686</v>
      </c>
      <c r="E238" s="3">
        <v>-19.168765</v>
      </c>
      <c r="F238" s="3">
        <v>-8.2600000000000002E-4</v>
      </c>
      <c r="G238" s="3">
        <v>-2.398E-3</v>
      </c>
      <c r="H238" s="3">
        <v>-1.4E-5</v>
      </c>
    </row>
    <row r="239" spans="1:8" x14ac:dyDescent="0.25">
      <c r="A239" s="9">
        <f t="shared" si="3"/>
        <v>847</v>
      </c>
      <c r="B239" s="2" t="s">
        <v>18</v>
      </c>
      <c r="C239" s="3">
        <v>-12.881658</v>
      </c>
      <c r="D239" s="3">
        <v>17.705086000000001</v>
      </c>
      <c r="E239" s="3">
        <v>-29.258312</v>
      </c>
      <c r="F239" s="3">
        <v>-7.9089999999999994E-3</v>
      </c>
      <c r="G239" s="3">
        <v>-6.6059999999999999E-3</v>
      </c>
      <c r="H239" s="3">
        <v>-2.8E-5</v>
      </c>
    </row>
    <row r="240" spans="1:8" x14ac:dyDescent="0.25">
      <c r="A240" s="9">
        <f t="shared" si="3"/>
        <v>860</v>
      </c>
      <c r="B240" s="2" t="s">
        <v>18</v>
      </c>
      <c r="C240" s="3">
        <v>0.92977600000000005</v>
      </c>
      <c r="D240" s="3">
        <v>5.4260159999999997</v>
      </c>
      <c r="E240" s="3">
        <v>-17.100256000000002</v>
      </c>
      <c r="F240" s="3">
        <v>-1.6459999999999999E-3</v>
      </c>
      <c r="G240" s="3">
        <v>4.2900000000000002E-4</v>
      </c>
      <c r="H240" s="3">
        <v>-6.0000000000000002E-6</v>
      </c>
    </row>
    <row r="241" spans="1:8" x14ac:dyDescent="0.25">
      <c r="A241" s="9">
        <f t="shared" si="3"/>
        <v>873</v>
      </c>
      <c r="B241" s="2" t="s">
        <v>18</v>
      </c>
      <c r="C241" s="3">
        <v>7.5538499999999997</v>
      </c>
      <c r="D241" s="3">
        <v>-4.1280609999999998</v>
      </c>
      <c r="E241" s="3">
        <v>-1.025703</v>
      </c>
      <c r="F241" s="3">
        <v>3.568E-3</v>
      </c>
      <c r="G241" s="3">
        <v>4.0429999999999997E-3</v>
      </c>
      <c r="H241" s="3">
        <v>8.7000000000000001E-5</v>
      </c>
    </row>
    <row r="242" spans="1:8" x14ac:dyDescent="0.25">
      <c r="A242" s="9">
        <f t="shared" si="3"/>
        <v>879</v>
      </c>
      <c r="B242" s="2" t="s">
        <v>18</v>
      </c>
      <c r="C242" s="3">
        <v>1.1124130000000001</v>
      </c>
      <c r="D242" s="3">
        <v>0.41869600000000001</v>
      </c>
      <c r="E242" s="3">
        <v>0</v>
      </c>
      <c r="F242" s="3">
        <v>4.5100000000000001E-4</v>
      </c>
      <c r="G242" s="3">
        <v>-2.2499999999999999E-4</v>
      </c>
      <c r="H242" s="3">
        <v>1.01E-4</v>
      </c>
    </row>
    <row r="243" spans="1:8" x14ac:dyDescent="0.25">
      <c r="A243" s="9">
        <f t="shared" si="3"/>
        <v>886</v>
      </c>
      <c r="B243" s="2" t="s">
        <v>18</v>
      </c>
      <c r="C243" s="3">
        <v>5.6069810000000002</v>
      </c>
      <c r="D243" s="3">
        <v>-6.0296719999999997</v>
      </c>
      <c r="E243" s="3">
        <v>-6.8787839999999996</v>
      </c>
      <c r="F243" s="3">
        <v>4.2139999999999999E-3</v>
      </c>
      <c r="G243" s="3">
        <v>2.3479999999999998E-3</v>
      </c>
      <c r="H243" s="3">
        <v>9.7E-5</v>
      </c>
    </row>
    <row r="244" spans="1:8" x14ac:dyDescent="0.25">
      <c r="A244" s="9">
        <f t="shared" si="3"/>
        <v>897</v>
      </c>
      <c r="B244" s="2" t="s">
        <v>18</v>
      </c>
      <c r="C244" s="3">
        <v>-2.2330580000000002</v>
      </c>
      <c r="D244" s="3">
        <v>-0.20957100000000001</v>
      </c>
      <c r="E244" s="3">
        <v>-30.357009999999999</v>
      </c>
      <c r="F244" s="3">
        <v>1.9699999999999999E-4</v>
      </c>
      <c r="G244" s="3">
        <v>-2.8159999999999999E-3</v>
      </c>
      <c r="H244" s="3">
        <v>2.2900000000000001E-4</v>
      </c>
    </row>
    <row r="245" spans="1:8" x14ac:dyDescent="0.25">
      <c r="A245" s="9">
        <f t="shared" si="3"/>
        <v>907</v>
      </c>
      <c r="B245" s="2" t="s">
        <v>18</v>
      </c>
      <c r="C245" s="3">
        <v>-7.1815429999999996</v>
      </c>
      <c r="D245" s="3">
        <v>7.7530130000000002</v>
      </c>
      <c r="E245" s="3">
        <v>-46.455396</v>
      </c>
      <c r="F245" s="3">
        <v>-4.6290000000000003E-3</v>
      </c>
      <c r="G245" s="3">
        <v>-6.2189999999999997E-3</v>
      </c>
      <c r="H245" s="3">
        <v>2.5000000000000001E-4</v>
      </c>
    </row>
    <row r="246" spans="1:8" x14ac:dyDescent="0.25">
      <c r="A246" s="9">
        <f t="shared" si="3"/>
        <v>918</v>
      </c>
      <c r="B246" s="2" t="s">
        <v>18</v>
      </c>
      <c r="C246" s="3">
        <v>-13.097142</v>
      </c>
      <c r="D246" s="3">
        <v>19.165544000000001</v>
      </c>
      <c r="E246" s="3">
        <v>-39.295582000000003</v>
      </c>
      <c r="F246" s="3">
        <v>-1.1169999999999999E-2</v>
      </c>
      <c r="G246" s="3">
        <v>-1.0240000000000001E-2</v>
      </c>
      <c r="H246" s="3">
        <v>3.1399999999999999E-4</v>
      </c>
    </row>
    <row r="247" spans="1:8" ht="15.75" thickBot="1" x14ac:dyDescent="0.3">
      <c r="A247" s="19">
        <f t="shared" si="3"/>
        <v>930</v>
      </c>
      <c r="B247" s="18" t="s">
        <v>18</v>
      </c>
      <c r="C247" s="20">
        <v>12.754155000000001</v>
      </c>
      <c r="D247" s="20">
        <v>1.6250770000000001</v>
      </c>
      <c r="E247" s="20">
        <v>0</v>
      </c>
      <c r="F247" s="20">
        <v>-2.7950000000000002E-3</v>
      </c>
      <c r="G247" s="20">
        <v>2.3479999999999998E-3</v>
      </c>
      <c r="H247" s="20">
        <v>2.81E-4</v>
      </c>
    </row>
    <row r="248" spans="1:8" ht="15.75" thickTop="1" x14ac:dyDescent="0.25">
      <c r="A248" s="16">
        <f t="shared" si="3"/>
        <v>500</v>
      </c>
      <c r="B248" s="2" t="s">
        <v>19</v>
      </c>
      <c r="C248" s="3">
        <v>1.9335819999999999</v>
      </c>
      <c r="D248" s="3">
        <v>-9.7630000000000008E-3</v>
      </c>
      <c r="E248" s="3">
        <v>0</v>
      </c>
      <c r="F248" s="3">
        <v>-2.4000000000000001E-5</v>
      </c>
      <c r="G248" s="3">
        <v>-8.9800000000000004E-4</v>
      </c>
      <c r="H248" s="3">
        <v>-1.9999999999999999E-6</v>
      </c>
    </row>
    <row r="249" spans="1:8" x14ac:dyDescent="0.25">
      <c r="A249" s="9">
        <f t="shared" si="3"/>
        <v>512</v>
      </c>
      <c r="B249" s="2" t="s">
        <v>19</v>
      </c>
      <c r="C249" s="3">
        <v>2.2543850000000001</v>
      </c>
      <c r="D249" s="3">
        <v>-0.13103600000000001</v>
      </c>
      <c r="E249" s="3">
        <v>-9.6927810000000001</v>
      </c>
      <c r="F249" s="3">
        <v>2.61E-4</v>
      </c>
      <c r="G249" s="3">
        <v>-4.17E-4</v>
      </c>
      <c r="H249" s="3">
        <v>-1.1E-5</v>
      </c>
    </row>
    <row r="250" spans="1:8" x14ac:dyDescent="0.25">
      <c r="A250" s="9">
        <f t="shared" si="3"/>
        <v>524</v>
      </c>
      <c r="B250" s="2" t="s">
        <v>19</v>
      </c>
      <c r="C250" s="3">
        <v>2.6131389999999999</v>
      </c>
      <c r="D250" s="3">
        <v>-4.7125E-2</v>
      </c>
      <c r="E250" s="3">
        <v>-11.546668</v>
      </c>
      <c r="F250" s="3">
        <v>3.0899999999999998E-4</v>
      </c>
      <c r="G250" s="3">
        <v>1.12E-4</v>
      </c>
      <c r="H250" s="3">
        <v>-9.0000000000000002E-6</v>
      </c>
    </row>
    <row r="251" spans="1:8" x14ac:dyDescent="0.25">
      <c r="A251" s="9">
        <f t="shared" si="3"/>
        <v>535</v>
      </c>
      <c r="B251" s="2" t="s">
        <v>19</v>
      </c>
      <c r="C251" s="3">
        <v>2.8658450000000002</v>
      </c>
      <c r="D251" s="3">
        <v>7.4323E-2</v>
      </c>
      <c r="E251" s="3">
        <v>-7.6325250000000002</v>
      </c>
      <c r="F251" s="3">
        <v>2.4899999999999998E-4</v>
      </c>
      <c r="G251" s="3">
        <v>4.8200000000000001E-4</v>
      </c>
      <c r="H251" s="3">
        <v>-6.9999999999999999E-6</v>
      </c>
    </row>
    <row r="252" spans="1:8" x14ac:dyDescent="0.25">
      <c r="A252" s="9">
        <f t="shared" si="3"/>
        <v>547</v>
      </c>
      <c r="B252" s="2" t="s">
        <v>19</v>
      </c>
      <c r="C252" s="3">
        <v>2.6226229999999999</v>
      </c>
      <c r="D252" s="3">
        <v>0.107067</v>
      </c>
      <c r="E252" s="3">
        <v>-1.199579</v>
      </c>
      <c r="F252" s="3">
        <v>2.2599999999999999E-4</v>
      </c>
      <c r="G252" s="3">
        <v>3.1199999999999999E-4</v>
      </c>
      <c r="H252" s="3">
        <v>1.9999999999999999E-6</v>
      </c>
    </row>
    <row r="253" spans="1:8" x14ac:dyDescent="0.25">
      <c r="A253" s="9">
        <f t="shared" si="3"/>
        <v>554</v>
      </c>
      <c r="B253" s="2" t="s">
        <v>19</v>
      </c>
      <c r="C253" s="3">
        <v>1.95204</v>
      </c>
      <c r="D253" s="3">
        <v>0.433915</v>
      </c>
      <c r="E253" s="3">
        <v>0</v>
      </c>
      <c r="F253" s="3">
        <v>-7.9999999999999996E-6</v>
      </c>
      <c r="G253" s="3">
        <v>-1.6200000000000001E-4</v>
      </c>
      <c r="H253" s="3">
        <v>3.9999999999999998E-6</v>
      </c>
    </row>
    <row r="254" spans="1:8" x14ac:dyDescent="0.25">
      <c r="A254" s="9">
        <f t="shared" si="3"/>
        <v>560</v>
      </c>
      <c r="B254" s="2" t="s">
        <v>19</v>
      </c>
      <c r="C254" s="3">
        <v>1.310189</v>
      </c>
      <c r="D254" s="3">
        <v>0.39652399999999999</v>
      </c>
      <c r="E254" s="3">
        <v>-3.1536590000000002</v>
      </c>
      <c r="F254" s="3">
        <v>-1.4E-5</v>
      </c>
      <c r="G254" s="3">
        <v>-6.1799999999999995E-4</v>
      </c>
      <c r="H254" s="3">
        <v>6.0000000000000002E-6</v>
      </c>
    </row>
    <row r="255" spans="1:8" x14ac:dyDescent="0.25">
      <c r="A255" s="9">
        <f t="shared" si="3"/>
        <v>573</v>
      </c>
      <c r="B255" s="2" t="s">
        <v>19</v>
      </c>
      <c r="C255" s="3">
        <v>1.2325140000000001</v>
      </c>
      <c r="D255" s="3">
        <v>1.1338520000000001</v>
      </c>
      <c r="E255" s="3">
        <v>-13.32161</v>
      </c>
      <c r="F255" s="3">
        <v>-5.1099999999999995E-4</v>
      </c>
      <c r="G255" s="3">
        <v>-6.8400000000000004E-4</v>
      </c>
      <c r="H255" s="3">
        <v>-7.9999999999999996E-6</v>
      </c>
    </row>
    <row r="256" spans="1:8" x14ac:dyDescent="0.25">
      <c r="A256" s="9">
        <f t="shared" si="3"/>
        <v>586</v>
      </c>
      <c r="B256" s="2" t="s">
        <v>19</v>
      </c>
      <c r="C256" s="3">
        <v>1.6183670000000001</v>
      </c>
      <c r="D256" s="3">
        <v>1.4299109999999999</v>
      </c>
      <c r="E256" s="3">
        <v>-18.225463999999999</v>
      </c>
      <c r="F256" s="3">
        <v>-8.03E-4</v>
      </c>
      <c r="G256" s="3">
        <v>-7.7000000000000001E-5</v>
      </c>
      <c r="H256" s="3">
        <v>-9.0000000000000002E-6</v>
      </c>
    </row>
    <row r="257" spans="1:8" x14ac:dyDescent="0.25">
      <c r="A257" s="9">
        <f t="shared" si="3"/>
        <v>599</v>
      </c>
      <c r="B257" s="2" t="s">
        <v>19</v>
      </c>
      <c r="C257" s="3">
        <v>2.02522</v>
      </c>
      <c r="D257" s="3">
        <v>1.5689379999999999</v>
      </c>
      <c r="E257" s="3">
        <v>-13.054099000000001</v>
      </c>
      <c r="F257" s="3">
        <v>-8.5700000000000001E-4</v>
      </c>
      <c r="G257" s="3">
        <v>5.6599999999999999E-4</v>
      </c>
      <c r="H257" s="3">
        <v>-9.0000000000000002E-6</v>
      </c>
    </row>
    <row r="258" spans="1:8" x14ac:dyDescent="0.25">
      <c r="A258" s="9">
        <f t="shared" si="3"/>
        <v>612</v>
      </c>
      <c r="B258" s="2" t="s">
        <v>19</v>
      </c>
      <c r="C258" s="3">
        <v>1.931333</v>
      </c>
      <c r="D258" s="3">
        <v>1.0170650000000001</v>
      </c>
      <c r="E258" s="3">
        <v>-2.6710310000000002</v>
      </c>
      <c r="F258" s="3">
        <v>-2.99E-4</v>
      </c>
      <c r="G258" s="3">
        <v>5.0799999999999999E-4</v>
      </c>
      <c r="H258" s="3">
        <v>-2.6999999999999999E-5</v>
      </c>
    </row>
    <row r="259" spans="1:8" x14ac:dyDescent="0.25">
      <c r="A259" s="9">
        <f t="shared" si="3"/>
        <v>619</v>
      </c>
      <c r="B259" s="2" t="s">
        <v>19</v>
      </c>
      <c r="C259" s="3">
        <v>1.171603</v>
      </c>
      <c r="D259" s="3">
        <v>0.865846</v>
      </c>
      <c r="E259" s="3">
        <v>0</v>
      </c>
      <c r="F259" s="3">
        <v>-9.6000000000000002E-5</v>
      </c>
      <c r="G259" s="3">
        <v>-1.7E-5</v>
      </c>
      <c r="H259" s="3">
        <v>-6.9999999999999999E-6</v>
      </c>
    </row>
    <row r="260" spans="1:8" x14ac:dyDescent="0.25">
      <c r="A260" s="9">
        <f t="shared" si="3"/>
        <v>625</v>
      </c>
      <c r="B260" s="2" t="s">
        <v>19</v>
      </c>
      <c r="C260" s="3">
        <v>0.401223</v>
      </c>
      <c r="D260" s="3">
        <v>0.79658600000000002</v>
      </c>
      <c r="E260" s="3">
        <v>-2.6639889999999999</v>
      </c>
      <c r="F260" s="3">
        <v>-8.5000000000000006E-5</v>
      </c>
      <c r="G260" s="3">
        <v>-5.7600000000000001E-4</v>
      </c>
      <c r="H260" s="3">
        <v>1.2999999999999999E-5</v>
      </c>
    </row>
    <row r="261" spans="1:8" x14ac:dyDescent="0.25">
      <c r="A261" s="9">
        <f t="shared" si="3"/>
        <v>638</v>
      </c>
      <c r="B261" s="2" t="s">
        <v>19</v>
      </c>
      <c r="C261" s="3">
        <v>0.136573</v>
      </c>
      <c r="D261" s="3">
        <v>1.3382149999999999</v>
      </c>
      <c r="E261" s="3">
        <v>-12.842718</v>
      </c>
      <c r="F261" s="3">
        <v>-5.1999999999999995E-4</v>
      </c>
      <c r="G261" s="3">
        <v>-7.9799999999999999E-4</v>
      </c>
      <c r="H261" s="3">
        <v>-3.9999999999999998E-6</v>
      </c>
    </row>
    <row r="262" spans="1:8" x14ac:dyDescent="0.25">
      <c r="A262" s="9">
        <f t="shared" si="3"/>
        <v>651</v>
      </c>
      <c r="B262" s="2" t="s">
        <v>19</v>
      </c>
      <c r="C262" s="3">
        <v>0.54151499999999997</v>
      </c>
      <c r="D262" s="3">
        <v>1.4761120000000001</v>
      </c>
      <c r="E262" s="3">
        <v>-17.825517999999999</v>
      </c>
      <c r="F262" s="3">
        <v>-6.6100000000000002E-4</v>
      </c>
      <c r="G262" s="3">
        <v>-1.66E-4</v>
      </c>
      <c r="H262" s="3">
        <v>-3.0000000000000001E-6</v>
      </c>
    </row>
    <row r="263" spans="1:8" x14ac:dyDescent="0.25">
      <c r="A263" s="9">
        <f t="shared" si="3"/>
        <v>664</v>
      </c>
      <c r="B263" s="2" t="s">
        <v>19</v>
      </c>
      <c r="C263" s="3">
        <v>0.97461500000000001</v>
      </c>
      <c r="D263" s="3">
        <v>1.4543269999999999</v>
      </c>
      <c r="E263" s="3">
        <v>-12.735097</v>
      </c>
      <c r="F263" s="3">
        <v>-5.7300000000000005E-4</v>
      </c>
      <c r="G263" s="3">
        <v>5.0699999999999996E-4</v>
      </c>
      <c r="H263" s="3">
        <v>-3.0000000000000001E-6</v>
      </c>
    </row>
    <row r="264" spans="1:8" x14ac:dyDescent="0.25">
      <c r="A264" s="9">
        <f t="shared" si="3"/>
        <v>677</v>
      </c>
      <c r="B264" s="2" t="s">
        <v>19</v>
      </c>
      <c r="C264" s="3">
        <v>1.0541959999999999</v>
      </c>
      <c r="D264" s="3">
        <v>0.83765299999999998</v>
      </c>
      <c r="E264" s="3">
        <v>-2.7295370000000001</v>
      </c>
      <c r="F264" s="3">
        <v>-1.06E-4</v>
      </c>
      <c r="G264" s="3">
        <v>5.5199999999999997E-4</v>
      </c>
      <c r="H264" s="3">
        <v>-6.0000000000000002E-6</v>
      </c>
    </row>
    <row r="265" spans="1:8" x14ac:dyDescent="0.25">
      <c r="A265" s="9">
        <f t="shared" si="3"/>
        <v>684</v>
      </c>
      <c r="B265" s="2" t="s">
        <v>19</v>
      </c>
      <c r="C265" s="3">
        <v>0.34715299999999999</v>
      </c>
      <c r="D265" s="3">
        <v>0.74437200000000003</v>
      </c>
      <c r="E265" s="3">
        <v>0</v>
      </c>
      <c r="F265" s="3">
        <v>-2.3E-5</v>
      </c>
      <c r="G265" s="3">
        <v>6.0000000000000002E-5</v>
      </c>
      <c r="H265" s="3">
        <v>-1.9999999999999999E-6</v>
      </c>
    </row>
    <row r="266" spans="1:8" x14ac:dyDescent="0.25">
      <c r="A266" s="9">
        <f t="shared" si="3"/>
        <v>690</v>
      </c>
      <c r="B266" s="2" t="s">
        <v>19</v>
      </c>
      <c r="C266" s="3">
        <v>-0.2349</v>
      </c>
      <c r="D266" s="3">
        <v>0.28079100000000001</v>
      </c>
      <c r="E266" s="3">
        <v>-1.927735</v>
      </c>
      <c r="F266" s="3">
        <v>3.0600000000000001E-4</v>
      </c>
      <c r="G266" s="3">
        <v>-3.5100000000000002E-4</v>
      </c>
      <c r="H266" s="3">
        <v>9.9999999999999995E-7</v>
      </c>
    </row>
    <row r="267" spans="1:8" x14ac:dyDescent="0.25">
      <c r="A267" s="9">
        <f t="shared" si="3"/>
        <v>703</v>
      </c>
      <c r="B267" s="2" t="s">
        <v>19</v>
      </c>
      <c r="C267" s="3">
        <v>-0.56438600000000005</v>
      </c>
      <c r="D267" s="3">
        <v>0.641567</v>
      </c>
      <c r="E267" s="3">
        <v>-10.688236</v>
      </c>
      <c r="F267" s="3">
        <v>5.5999999999999999E-5</v>
      </c>
      <c r="G267" s="3">
        <v>-6.02E-4</v>
      </c>
      <c r="H267" s="3">
        <v>1.9999999999999999E-6</v>
      </c>
    </row>
    <row r="268" spans="1:8" x14ac:dyDescent="0.25">
      <c r="A268" s="9">
        <f t="shared" si="3"/>
        <v>716</v>
      </c>
      <c r="B268" s="2" t="s">
        <v>19</v>
      </c>
      <c r="C268" s="3">
        <v>-0.24720500000000001</v>
      </c>
      <c r="D268" s="3">
        <v>0.84869499999999998</v>
      </c>
      <c r="E268" s="3">
        <v>-15.296766</v>
      </c>
      <c r="F268" s="3">
        <v>-2.9799999999999998E-4</v>
      </c>
      <c r="G268" s="3">
        <v>-1.3999999999999999E-4</v>
      </c>
      <c r="H268" s="3">
        <v>1.9999999999999999E-6</v>
      </c>
    </row>
    <row r="269" spans="1:8" x14ac:dyDescent="0.25">
      <c r="A269" s="9">
        <f t="shared" si="3"/>
        <v>729</v>
      </c>
      <c r="B269" s="2" t="s">
        <v>19</v>
      </c>
      <c r="C269" s="3">
        <v>0.13911699999999999</v>
      </c>
      <c r="D269" s="3">
        <v>0.90943799999999997</v>
      </c>
      <c r="E269" s="3">
        <v>-10.946899999999999</v>
      </c>
      <c r="F269" s="3">
        <v>-4.1800000000000002E-4</v>
      </c>
      <c r="G269" s="3">
        <v>4.3100000000000001E-4</v>
      </c>
      <c r="H269" s="3">
        <v>1.9999999999999999E-6</v>
      </c>
    </row>
    <row r="270" spans="1:8" x14ac:dyDescent="0.25">
      <c r="A270" s="9">
        <f t="shared" si="3"/>
        <v>742</v>
      </c>
      <c r="B270" s="2" t="s">
        <v>19</v>
      </c>
      <c r="C270" s="3">
        <v>0.237901</v>
      </c>
      <c r="D270" s="3">
        <v>0.41858699999999999</v>
      </c>
      <c r="E270" s="3">
        <v>-2.1447769999999999</v>
      </c>
      <c r="F270" s="3">
        <v>-7.7999999999999999E-5</v>
      </c>
      <c r="G270" s="3">
        <v>4.7699999999999999E-4</v>
      </c>
      <c r="H270" s="3">
        <v>0</v>
      </c>
    </row>
    <row r="271" spans="1:8" x14ac:dyDescent="0.25">
      <c r="A271" s="9">
        <f t="shared" si="3"/>
        <v>749</v>
      </c>
      <c r="B271" s="2" t="s">
        <v>19</v>
      </c>
      <c r="C271" s="3">
        <v>-0.46020499999999998</v>
      </c>
      <c r="D271" s="3">
        <v>0.30196899999999999</v>
      </c>
      <c r="E271" s="3">
        <v>0</v>
      </c>
      <c r="F271" s="3">
        <v>3.9999999999999998E-6</v>
      </c>
      <c r="G271" s="3">
        <v>-1.5999999999999999E-5</v>
      </c>
      <c r="H271" s="3">
        <v>1.9999999999999999E-6</v>
      </c>
    </row>
    <row r="272" spans="1:8" x14ac:dyDescent="0.25">
      <c r="A272" s="9">
        <f t="shared" si="3"/>
        <v>755</v>
      </c>
      <c r="B272" s="2" t="s">
        <v>19</v>
      </c>
      <c r="C272" s="3">
        <v>-0.97185999999999995</v>
      </c>
      <c r="D272" s="3">
        <v>-0.17633399999999999</v>
      </c>
      <c r="E272" s="3">
        <v>-2.3567740000000001</v>
      </c>
      <c r="F272" s="3">
        <v>3.2699999999999998E-4</v>
      </c>
      <c r="G272" s="3">
        <v>-3.8400000000000001E-4</v>
      </c>
      <c r="H272" s="3">
        <v>3.9999999999999998E-6</v>
      </c>
    </row>
    <row r="273" spans="1:8" x14ac:dyDescent="0.25">
      <c r="A273" s="9">
        <f t="shared" si="3"/>
        <v>768</v>
      </c>
      <c r="B273" s="2" t="s">
        <v>19</v>
      </c>
      <c r="C273" s="3">
        <v>-1.304762</v>
      </c>
      <c r="D273" s="3">
        <v>0.19095599999999999</v>
      </c>
      <c r="E273" s="3">
        <v>-11.443136000000001</v>
      </c>
      <c r="F273" s="3">
        <v>6.4999999999999994E-5</v>
      </c>
      <c r="G273" s="3">
        <v>-6.4099999999999997E-4</v>
      </c>
      <c r="H273" s="3">
        <v>9.9999999999999995E-7</v>
      </c>
    </row>
    <row r="274" spans="1:8" x14ac:dyDescent="0.25">
      <c r="A274" s="9">
        <f t="shared" si="3"/>
        <v>781</v>
      </c>
      <c r="B274" s="2" t="s">
        <v>19</v>
      </c>
      <c r="C274" s="3">
        <v>-1.014445</v>
      </c>
      <c r="D274" s="3">
        <v>0.44991700000000001</v>
      </c>
      <c r="E274" s="3">
        <v>-15.973411</v>
      </c>
      <c r="F274" s="3">
        <v>-3.4400000000000001E-4</v>
      </c>
      <c r="G274" s="3">
        <v>-2.1000000000000001E-4</v>
      </c>
      <c r="H274" s="3">
        <v>0</v>
      </c>
    </row>
    <row r="275" spans="1:8" x14ac:dyDescent="0.25">
      <c r="A275" s="9">
        <f t="shared" si="3"/>
        <v>794</v>
      </c>
      <c r="B275" s="2" t="s">
        <v>19</v>
      </c>
      <c r="C275" s="3">
        <v>-0.64619899999999997</v>
      </c>
      <c r="D275" s="3">
        <v>0.58254600000000001</v>
      </c>
      <c r="E275" s="3">
        <v>-11.359612</v>
      </c>
      <c r="F275" s="3">
        <v>-5.3600000000000002E-4</v>
      </c>
      <c r="G275" s="3">
        <v>3.5399999999999999E-4</v>
      </c>
      <c r="H275" s="3">
        <v>-9.9999999999999995E-7</v>
      </c>
    </row>
    <row r="276" spans="1:8" x14ac:dyDescent="0.25">
      <c r="A276" s="9">
        <f t="shared" si="3"/>
        <v>807</v>
      </c>
      <c r="B276" s="2" t="s">
        <v>19</v>
      </c>
      <c r="C276" s="3">
        <v>-0.46836</v>
      </c>
      <c r="D276" s="3">
        <v>8.9375999999999997E-2</v>
      </c>
      <c r="E276" s="3">
        <v>-2.2676479999999999</v>
      </c>
      <c r="F276" s="3">
        <v>-1.7899999999999999E-4</v>
      </c>
      <c r="G276" s="3">
        <v>4.64E-4</v>
      </c>
      <c r="H276" s="3">
        <v>-1.9999999999999999E-6</v>
      </c>
    </row>
    <row r="277" spans="1:8" x14ac:dyDescent="0.25">
      <c r="A277" s="9">
        <f t="shared" si="3"/>
        <v>814</v>
      </c>
      <c r="B277" s="2" t="s">
        <v>19</v>
      </c>
      <c r="C277" s="3">
        <v>-1.1330849999999999</v>
      </c>
      <c r="D277" s="3">
        <v>-0.155524</v>
      </c>
      <c r="E277" s="3">
        <v>0</v>
      </c>
      <c r="F277" s="3">
        <v>-3.0000000000000001E-6</v>
      </c>
      <c r="G277" s="3">
        <v>-1.9999999999999999E-6</v>
      </c>
      <c r="H277" s="3">
        <v>9.9999999999999995E-7</v>
      </c>
    </row>
    <row r="278" spans="1:8" x14ac:dyDescent="0.25">
      <c r="A278" s="9">
        <f t="shared" si="3"/>
        <v>821</v>
      </c>
      <c r="B278" s="2" t="s">
        <v>19</v>
      </c>
      <c r="C278" s="3">
        <v>-1.569229</v>
      </c>
      <c r="D278" s="3">
        <v>-0.72186399999999995</v>
      </c>
      <c r="E278" s="3">
        <v>-2.2889659999999998</v>
      </c>
      <c r="F278" s="3">
        <v>3.8699999999999997E-4</v>
      </c>
      <c r="G278" s="3">
        <v>-3.1500000000000001E-4</v>
      </c>
      <c r="H278" s="3">
        <v>3.0000000000000001E-6</v>
      </c>
    </row>
    <row r="279" spans="1:8" x14ac:dyDescent="0.25">
      <c r="A279" s="9">
        <f t="shared" si="3"/>
        <v>834</v>
      </c>
      <c r="B279" s="2" t="s">
        <v>19</v>
      </c>
      <c r="C279" s="3">
        <v>-2.0215209999999999</v>
      </c>
      <c r="D279" s="3">
        <v>-0.35962499999999997</v>
      </c>
      <c r="E279" s="3">
        <v>-11.4842</v>
      </c>
      <c r="F279" s="3">
        <v>1.4899999999999999E-4</v>
      </c>
      <c r="G279" s="3">
        <v>-6.3699999999999998E-4</v>
      </c>
      <c r="H279" s="3">
        <v>-9.9999999999999995E-7</v>
      </c>
    </row>
    <row r="280" spans="1:8" x14ac:dyDescent="0.25">
      <c r="A280" s="9">
        <f t="shared" si="3"/>
        <v>847</v>
      </c>
      <c r="B280" s="2" t="s">
        <v>19</v>
      </c>
      <c r="C280" s="3">
        <v>-1.7954110000000001</v>
      </c>
      <c r="D280" s="3">
        <v>-3.2031999999999998E-2</v>
      </c>
      <c r="E280" s="3">
        <v>-16.037607000000001</v>
      </c>
      <c r="F280" s="3">
        <v>-3.3599999999999998E-4</v>
      </c>
      <c r="G280" s="3">
        <v>-2.7999999999999998E-4</v>
      </c>
      <c r="H280" s="3">
        <v>-9.9999999999999995E-7</v>
      </c>
    </row>
    <row r="281" spans="1:8" x14ac:dyDescent="0.25">
      <c r="A281" s="9">
        <f t="shared" si="3"/>
        <v>860</v>
      </c>
      <c r="B281" s="2" t="s">
        <v>19</v>
      </c>
      <c r="C281" s="3">
        <v>-1.439093</v>
      </c>
      <c r="D281" s="3">
        <v>0.142016</v>
      </c>
      <c r="E281" s="3">
        <v>-11.341972999999999</v>
      </c>
      <c r="F281" s="3">
        <v>-5.7600000000000001E-4</v>
      </c>
      <c r="G281" s="3">
        <v>2.8600000000000001E-4</v>
      </c>
      <c r="H281" s="3">
        <v>-1.9999999999999999E-6</v>
      </c>
    </row>
    <row r="282" spans="1:8" x14ac:dyDescent="0.25">
      <c r="A282" s="9">
        <f t="shared" si="3"/>
        <v>873</v>
      </c>
      <c r="B282" s="2" t="s">
        <v>19</v>
      </c>
      <c r="C282" s="3">
        <v>-1.264937</v>
      </c>
      <c r="D282" s="3">
        <v>-0.27295599999999998</v>
      </c>
      <c r="E282" s="3">
        <v>-2.2012040000000002</v>
      </c>
      <c r="F282" s="3">
        <v>-2.4899999999999998E-4</v>
      </c>
      <c r="G282" s="3">
        <v>4.2200000000000001E-4</v>
      </c>
      <c r="H282" s="3">
        <v>-3.9999999999999998E-6</v>
      </c>
    </row>
    <row r="283" spans="1:8" x14ac:dyDescent="0.25">
      <c r="A283" s="9">
        <f t="shared" si="3"/>
        <v>879</v>
      </c>
      <c r="B283" s="2" t="s">
        <v>19</v>
      </c>
      <c r="C283" s="3">
        <v>-1.8886989999999999</v>
      </c>
      <c r="D283" s="3">
        <v>-0.64539899999999994</v>
      </c>
      <c r="E283" s="3">
        <v>0</v>
      </c>
      <c r="F283" s="3">
        <v>2.0999999999999999E-5</v>
      </c>
      <c r="G283" s="3">
        <v>-1.2999999999999999E-5</v>
      </c>
      <c r="H283" s="3">
        <v>-3.0000000000000001E-6</v>
      </c>
    </row>
    <row r="284" spans="1:8" x14ac:dyDescent="0.25">
      <c r="A284" s="9">
        <f t="shared" si="3"/>
        <v>886</v>
      </c>
      <c r="B284" s="2" t="s">
        <v>19</v>
      </c>
      <c r="C284" s="3">
        <v>-2.2965149999999999</v>
      </c>
      <c r="D284" s="3">
        <v>-1.231562</v>
      </c>
      <c r="E284" s="3">
        <v>-2.5301499999999999</v>
      </c>
      <c r="F284" s="3">
        <v>4.4999999999999999E-4</v>
      </c>
      <c r="G284" s="3">
        <v>-2.8699999999999998E-4</v>
      </c>
      <c r="H284" s="3">
        <v>-3.9999999999999998E-6</v>
      </c>
    </row>
    <row r="285" spans="1:8" x14ac:dyDescent="0.25">
      <c r="A285" s="9">
        <f t="shared" si="3"/>
        <v>897</v>
      </c>
      <c r="B285" s="2" t="s">
        <v>19</v>
      </c>
      <c r="C285" s="3">
        <v>-2.7666750000000002</v>
      </c>
      <c r="D285" s="3">
        <v>-0.95970599999999995</v>
      </c>
      <c r="E285" s="3">
        <v>-11.274527000000001</v>
      </c>
      <c r="F285" s="3">
        <v>2.9399999999999999E-4</v>
      </c>
      <c r="G285" s="3">
        <v>-5.8600000000000004E-4</v>
      </c>
      <c r="H285" s="3">
        <v>-5.0000000000000004E-6</v>
      </c>
    </row>
    <row r="286" spans="1:8" x14ac:dyDescent="0.25">
      <c r="A286" s="9">
        <f t="shared" si="3"/>
        <v>907</v>
      </c>
      <c r="B286" s="2" t="s">
        <v>19</v>
      </c>
      <c r="C286" s="3">
        <v>-2.657464</v>
      </c>
      <c r="D286" s="3">
        <v>-0.61782800000000004</v>
      </c>
      <c r="E286" s="3">
        <v>-16.113793000000001</v>
      </c>
      <c r="F286" s="3">
        <v>-1.55E-4</v>
      </c>
      <c r="G286" s="3">
        <v>-3.6600000000000001E-4</v>
      </c>
      <c r="H286" s="3">
        <v>-6.0000000000000002E-6</v>
      </c>
    </row>
    <row r="287" spans="1:8" x14ac:dyDescent="0.25">
      <c r="A287" s="9">
        <f t="shared" si="3"/>
        <v>918</v>
      </c>
      <c r="B287" s="2" t="s">
        <v>19</v>
      </c>
      <c r="C287" s="3">
        <v>-2.4589850000000002</v>
      </c>
      <c r="D287" s="3">
        <v>-0.179895</v>
      </c>
      <c r="E287" s="3">
        <v>-13.401657999999999</v>
      </c>
      <c r="F287" s="3">
        <v>-7.3899999999999997E-4</v>
      </c>
      <c r="G287" s="3">
        <v>9.0000000000000002E-6</v>
      </c>
      <c r="H287" s="3">
        <v>-6.0000000000000002E-6</v>
      </c>
    </row>
    <row r="288" spans="1:8" ht="15.75" thickBot="1" x14ac:dyDescent="0.3">
      <c r="A288" s="19">
        <f t="shared" si="3"/>
        <v>930</v>
      </c>
      <c r="B288" s="18" t="s">
        <v>19</v>
      </c>
      <c r="C288" s="20">
        <v>-2.0547550000000001</v>
      </c>
      <c r="D288" s="20">
        <v>3.9558999999999997E-2</v>
      </c>
      <c r="E288" s="20">
        <v>0</v>
      </c>
      <c r="F288" s="20">
        <v>-9.6000000000000002E-4</v>
      </c>
      <c r="G288" s="20">
        <v>7.5500000000000003E-4</v>
      </c>
      <c r="H288" s="20">
        <v>-6.9999999999999999E-6</v>
      </c>
    </row>
    <row r="289" spans="1:8" ht="15.75" thickTop="1" x14ac:dyDescent="0.25">
      <c r="A289" s="16">
        <f t="shared" si="3"/>
        <v>500</v>
      </c>
      <c r="B289" s="2" t="s">
        <v>21</v>
      </c>
      <c r="C289" s="3">
        <v>-18.869026999999999</v>
      </c>
      <c r="D289" s="3">
        <v>-2.8483329999999998</v>
      </c>
      <c r="E289" s="3">
        <v>0</v>
      </c>
      <c r="F289" s="3">
        <v>7.2000000000000005E-4</v>
      </c>
      <c r="G289" s="3">
        <v>-1.768E-3</v>
      </c>
      <c r="H289" s="3">
        <v>-9.0000000000000002E-6</v>
      </c>
    </row>
    <row r="290" spans="1:8" x14ac:dyDescent="0.25">
      <c r="A290" s="9">
        <f t="shared" si="3"/>
        <v>512</v>
      </c>
      <c r="B290" s="2" t="s">
        <v>21</v>
      </c>
      <c r="C290" s="3">
        <v>-15.392723999999999</v>
      </c>
      <c r="D290" s="3">
        <v>-3.0907900000000001</v>
      </c>
      <c r="E290" s="3">
        <v>-14.165227</v>
      </c>
      <c r="F290" s="3">
        <v>1.0529999999999999E-3</v>
      </c>
      <c r="G290" s="3">
        <v>-6.78E-4</v>
      </c>
      <c r="H290" s="3">
        <v>6.0000000000000002E-6</v>
      </c>
    </row>
    <row r="291" spans="1:8" x14ac:dyDescent="0.25">
      <c r="A291" s="9">
        <f t="shared" si="3"/>
        <v>524</v>
      </c>
      <c r="B291" s="2" t="s">
        <v>21</v>
      </c>
      <c r="C291" s="3">
        <v>-12.167839000000001</v>
      </c>
      <c r="D291" s="3">
        <v>-3.2376580000000001</v>
      </c>
      <c r="E291" s="3">
        <v>-16.366</v>
      </c>
      <c r="F291" s="3">
        <v>1.1150000000000001E-3</v>
      </c>
      <c r="G291" s="3">
        <v>2.14E-4</v>
      </c>
      <c r="H291" s="3">
        <v>6.9999999999999999E-6</v>
      </c>
    </row>
    <row r="292" spans="1:8" x14ac:dyDescent="0.25">
      <c r="A292" s="9">
        <f t="shared" si="3"/>
        <v>535</v>
      </c>
      <c r="B292" s="2" t="s">
        <v>21</v>
      </c>
      <c r="C292" s="3">
        <v>-9.278886</v>
      </c>
      <c r="D292" s="3">
        <v>-3.3293300000000001</v>
      </c>
      <c r="E292" s="3">
        <v>-10.166226999999999</v>
      </c>
      <c r="F292" s="3">
        <v>1.175E-3</v>
      </c>
      <c r="G292" s="3">
        <v>9.77E-4</v>
      </c>
      <c r="H292" s="3">
        <v>6.0000000000000002E-6</v>
      </c>
    </row>
    <row r="293" spans="1:8" x14ac:dyDescent="0.25">
      <c r="A293" s="9">
        <f t="shared" si="3"/>
        <v>547</v>
      </c>
      <c r="B293" s="2" t="s">
        <v>21</v>
      </c>
      <c r="C293" s="3">
        <v>-10.035113000000001</v>
      </c>
      <c r="D293" s="3">
        <v>-3.5725280000000001</v>
      </c>
      <c r="E293" s="3">
        <v>-2.1233230000000001</v>
      </c>
      <c r="F293" s="3">
        <v>1.181E-3</v>
      </c>
      <c r="G293" s="3">
        <v>4.8299999999999998E-4</v>
      </c>
      <c r="H293" s="3">
        <v>4.6E-5</v>
      </c>
    </row>
    <row r="294" spans="1:8" x14ac:dyDescent="0.25">
      <c r="A294" s="9">
        <f t="shared" si="3"/>
        <v>554</v>
      </c>
      <c r="B294" s="2" t="s">
        <v>21</v>
      </c>
      <c r="C294" s="3">
        <v>-10.314686999999999</v>
      </c>
      <c r="D294" s="3">
        <v>-3.4325960000000002</v>
      </c>
      <c r="E294" s="3">
        <v>0</v>
      </c>
      <c r="F294" s="3">
        <v>8.5700000000000001E-4</v>
      </c>
      <c r="G294" s="3">
        <v>2.8299999999999999E-4</v>
      </c>
      <c r="H294" s="3">
        <v>2.0000000000000002E-5</v>
      </c>
    </row>
    <row r="295" spans="1:8" x14ac:dyDescent="0.25">
      <c r="A295" s="9">
        <f t="shared" si="3"/>
        <v>560</v>
      </c>
      <c r="B295" s="2" t="s">
        <v>21</v>
      </c>
      <c r="C295" s="3">
        <v>-10.622648999999999</v>
      </c>
      <c r="D295" s="3">
        <v>-3.992677</v>
      </c>
      <c r="E295" s="3">
        <v>0.88067200000000001</v>
      </c>
      <c r="F295" s="3">
        <v>1.305E-3</v>
      </c>
      <c r="G295" s="3">
        <v>8.3999999999999995E-5</v>
      </c>
      <c r="H295" s="3">
        <v>-6.0000000000000002E-6</v>
      </c>
    </row>
    <row r="296" spans="1:8" x14ac:dyDescent="0.25">
      <c r="A296" s="9">
        <f t="shared" si="3"/>
        <v>573</v>
      </c>
      <c r="B296" s="2" t="s">
        <v>21</v>
      </c>
      <c r="C296" s="3">
        <v>-11.690277</v>
      </c>
      <c r="D296" s="3">
        <v>-4.5350229999999998</v>
      </c>
      <c r="E296" s="3">
        <v>-3.3058369999999999</v>
      </c>
      <c r="F296" s="3">
        <v>1.529E-3</v>
      </c>
      <c r="G296" s="3">
        <v>-5.9900000000000003E-4</v>
      </c>
      <c r="H296" s="3">
        <v>2.8E-5</v>
      </c>
    </row>
    <row r="297" spans="1:8" x14ac:dyDescent="0.25">
      <c r="A297" s="9">
        <f t="shared" si="3"/>
        <v>586</v>
      </c>
      <c r="B297" s="2" t="s">
        <v>21</v>
      </c>
      <c r="C297" s="3">
        <v>-8.3356329999999996</v>
      </c>
      <c r="D297" s="3">
        <v>-4.540057</v>
      </c>
      <c r="E297" s="3">
        <v>-7.9759760000000002</v>
      </c>
      <c r="F297" s="3">
        <v>1.4729999999999999E-3</v>
      </c>
      <c r="G297" s="3">
        <v>1.12E-4</v>
      </c>
      <c r="H297" s="3">
        <v>2.1999999999999999E-5</v>
      </c>
    </row>
    <row r="298" spans="1:8" x14ac:dyDescent="0.25">
      <c r="A298" s="9">
        <f t="shared" si="3"/>
        <v>599</v>
      </c>
      <c r="B298" s="2" t="s">
        <v>21</v>
      </c>
      <c r="C298" s="3">
        <v>-4.9694760000000002</v>
      </c>
      <c r="D298" s="3">
        <v>-4.3969829999999996</v>
      </c>
      <c r="E298" s="3">
        <v>-4.3763550000000002</v>
      </c>
      <c r="F298" s="3">
        <v>1.423E-3</v>
      </c>
      <c r="G298" s="3">
        <v>8.5499999999999997E-4</v>
      </c>
      <c r="H298" s="3">
        <v>1.7E-5</v>
      </c>
    </row>
    <row r="299" spans="1:8" x14ac:dyDescent="0.25">
      <c r="A299" s="9">
        <f t="shared" si="3"/>
        <v>612</v>
      </c>
      <c r="B299" s="2" t="s">
        <v>21</v>
      </c>
      <c r="C299" s="3">
        <v>-5.7447889999999999</v>
      </c>
      <c r="D299" s="3">
        <v>-4.6815639999999998</v>
      </c>
      <c r="E299" s="3">
        <v>1.3093E-2</v>
      </c>
      <c r="F299" s="3">
        <v>1.348E-3</v>
      </c>
      <c r="G299" s="3">
        <v>3.1700000000000001E-4</v>
      </c>
      <c r="H299" s="3">
        <v>6.3E-5</v>
      </c>
    </row>
    <row r="300" spans="1:8" x14ac:dyDescent="0.25">
      <c r="A300" s="9">
        <f t="shared" ref="A300:A329" si="4">A259</f>
        <v>619</v>
      </c>
      <c r="B300" s="2" t="s">
        <v>21</v>
      </c>
      <c r="C300" s="3">
        <v>-5.9654730000000002</v>
      </c>
      <c r="D300" s="3">
        <v>-4.6010929999999997</v>
      </c>
      <c r="E300" s="3">
        <v>0</v>
      </c>
      <c r="F300" s="3">
        <v>9.8999999999999999E-4</v>
      </c>
      <c r="G300" s="3">
        <v>1.18E-4</v>
      </c>
      <c r="H300" s="3">
        <v>3.0000000000000001E-5</v>
      </c>
    </row>
    <row r="301" spans="1:8" x14ac:dyDescent="0.25">
      <c r="A301" s="9">
        <f t="shared" si="4"/>
        <v>625</v>
      </c>
      <c r="B301" s="2" t="s">
        <v>21</v>
      </c>
      <c r="C301" s="3">
        <v>-6.0961319999999999</v>
      </c>
      <c r="D301" s="3">
        <v>-5.1240819999999996</v>
      </c>
      <c r="E301" s="3">
        <v>-0.77457399999999998</v>
      </c>
      <c r="F301" s="3">
        <v>1.3940000000000001E-3</v>
      </c>
      <c r="G301" s="3">
        <v>5.1999999999999997E-5</v>
      </c>
      <c r="H301" s="3">
        <v>-3.0000000000000001E-6</v>
      </c>
    </row>
    <row r="302" spans="1:8" x14ac:dyDescent="0.25">
      <c r="A302" s="9">
        <f t="shared" si="4"/>
        <v>638</v>
      </c>
      <c r="B302" s="2" t="s">
        <v>21</v>
      </c>
      <c r="C302" s="3">
        <v>-6.7173509999999998</v>
      </c>
      <c r="D302" s="3">
        <v>-5.8252480000000002</v>
      </c>
      <c r="E302" s="3">
        <v>-6.5136019999999997</v>
      </c>
      <c r="F302" s="3">
        <v>1.67E-3</v>
      </c>
      <c r="G302" s="3">
        <v>-3.7500000000000001E-4</v>
      </c>
      <c r="H302" s="3">
        <v>2.9E-5</v>
      </c>
    </row>
    <row r="303" spans="1:8" x14ac:dyDescent="0.25">
      <c r="A303" s="9">
        <f t="shared" si="4"/>
        <v>651</v>
      </c>
      <c r="B303" s="2" t="s">
        <v>21</v>
      </c>
      <c r="C303" s="3">
        <v>-3.3716689999999998</v>
      </c>
      <c r="D303" s="3">
        <v>-5.297822</v>
      </c>
      <c r="E303" s="3">
        <v>-10.906815</v>
      </c>
      <c r="F303" s="3">
        <v>1.4220000000000001E-3</v>
      </c>
      <c r="G303" s="3">
        <v>3.8200000000000002E-4</v>
      </c>
      <c r="H303" s="3">
        <v>2.1999999999999999E-5</v>
      </c>
    </row>
    <row r="304" spans="1:8" x14ac:dyDescent="0.25">
      <c r="A304" s="9">
        <f t="shared" si="4"/>
        <v>664</v>
      </c>
      <c r="B304" s="2" t="s">
        <v>21</v>
      </c>
      <c r="C304" s="3">
        <v>-5.4632E-2</v>
      </c>
      <c r="D304" s="3">
        <v>-4.6066479999999999</v>
      </c>
      <c r="E304" s="3">
        <v>-6.2331630000000002</v>
      </c>
      <c r="F304" s="3">
        <v>1.2520000000000001E-3</v>
      </c>
      <c r="G304" s="3">
        <v>1.16E-3</v>
      </c>
      <c r="H304" s="3">
        <v>1.1E-5</v>
      </c>
    </row>
    <row r="305" spans="1:8" x14ac:dyDescent="0.25">
      <c r="A305" s="9">
        <f t="shared" si="4"/>
        <v>677</v>
      </c>
      <c r="B305" s="2" t="s">
        <v>21</v>
      </c>
      <c r="C305" s="3">
        <v>-0.91536499999999998</v>
      </c>
      <c r="D305" s="3">
        <v>-4.8102119999999999</v>
      </c>
      <c r="E305" s="3">
        <v>-0.54676000000000002</v>
      </c>
      <c r="F305" s="3">
        <v>1.2470000000000001E-3</v>
      </c>
      <c r="G305" s="3">
        <v>6.0599999999999998E-4</v>
      </c>
      <c r="H305" s="3">
        <v>3.8999999999999999E-5</v>
      </c>
    </row>
    <row r="306" spans="1:8" x14ac:dyDescent="0.25">
      <c r="A306" s="9">
        <f t="shared" si="4"/>
        <v>684</v>
      </c>
      <c r="B306" s="2" t="s">
        <v>21</v>
      </c>
      <c r="C306" s="3">
        <v>-1.2331449999999999</v>
      </c>
      <c r="D306" s="3">
        <v>-4.6396499999999996</v>
      </c>
      <c r="E306" s="3">
        <v>0</v>
      </c>
      <c r="F306" s="3">
        <v>9.2900000000000003E-4</v>
      </c>
      <c r="G306" s="3">
        <v>3.39E-4</v>
      </c>
      <c r="H306" s="3">
        <v>1.2999999999999999E-5</v>
      </c>
    </row>
    <row r="307" spans="1:8" x14ac:dyDescent="0.25">
      <c r="A307" s="9">
        <f t="shared" si="4"/>
        <v>690</v>
      </c>
      <c r="B307" s="2" t="s">
        <v>21</v>
      </c>
      <c r="C307" s="3">
        <v>-1.3284009999999999</v>
      </c>
      <c r="D307" s="3">
        <v>-5.1480220000000001</v>
      </c>
      <c r="E307" s="3">
        <v>-0.32791500000000001</v>
      </c>
      <c r="F307" s="3">
        <v>1.3649999999999999E-3</v>
      </c>
      <c r="G307" s="3">
        <v>3.2600000000000001E-4</v>
      </c>
      <c r="H307" s="3">
        <v>-1.5E-5</v>
      </c>
    </row>
    <row r="308" spans="1:8" x14ac:dyDescent="0.25">
      <c r="A308" s="9">
        <f t="shared" si="4"/>
        <v>703</v>
      </c>
      <c r="B308" s="2" t="s">
        <v>21</v>
      </c>
      <c r="C308" s="3">
        <v>-2.0931030000000002</v>
      </c>
      <c r="D308" s="3">
        <v>-5.7460129999999996</v>
      </c>
      <c r="E308" s="3">
        <v>-5.7146039999999996</v>
      </c>
      <c r="F308" s="3">
        <v>1.6900000000000001E-3</v>
      </c>
      <c r="G308" s="3">
        <v>-1.34E-4</v>
      </c>
      <c r="H308" s="3">
        <v>1.2E-5</v>
      </c>
    </row>
    <row r="309" spans="1:8" x14ac:dyDescent="0.25">
      <c r="A309" s="9">
        <f t="shared" si="4"/>
        <v>716</v>
      </c>
      <c r="B309" s="2" t="s">
        <v>21</v>
      </c>
      <c r="C309" s="3">
        <v>1.0425169999999999</v>
      </c>
      <c r="D309" s="3">
        <v>-4.5311209999999997</v>
      </c>
      <c r="E309" s="3">
        <v>-10.190999</v>
      </c>
      <c r="F309" s="3">
        <v>1.3500000000000001E-3</v>
      </c>
      <c r="G309" s="3">
        <v>5.8200000000000005E-4</v>
      </c>
      <c r="H309" s="3">
        <v>3.0000000000000001E-6</v>
      </c>
    </row>
    <row r="310" spans="1:8" x14ac:dyDescent="0.25">
      <c r="A310" s="9">
        <f t="shared" si="4"/>
        <v>729</v>
      </c>
      <c r="B310" s="2" t="s">
        <v>21</v>
      </c>
      <c r="C310" s="3">
        <v>4.1108320000000003</v>
      </c>
      <c r="D310" s="3">
        <v>-3.1543380000000001</v>
      </c>
      <c r="E310" s="3">
        <v>-5.6518980000000001</v>
      </c>
      <c r="F310" s="3">
        <v>1.0920000000000001E-3</v>
      </c>
      <c r="G310" s="3">
        <v>1.3339999999999999E-3</v>
      </c>
      <c r="H310" s="3">
        <v>-6.9999999999999999E-6</v>
      </c>
    </row>
    <row r="311" spans="1:8" x14ac:dyDescent="0.25">
      <c r="A311" s="9">
        <f t="shared" si="4"/>
        <v>742</v>
      </c>
      <c r="B311" s="2" t="s">
        <v>21</v>
      </c>
      <c r="C311" s="3">
        <v>3.1251739999999999</v>
      </c>
      <c r="D311" s="3">
        <v>-3.3172999999999999</v>
      </c>
      <c r="E311" s="3">
        <v>-0.27688099999999999</v>
      </c>
      <c r="F311" s="3">
        <v>1.1800000000000001E-3</v>
      </c>
      <c r="G311" s="3">
        <v>7.6099999999999996E-4</v>
      </c>
      <c r="H311" s="3">
        <v>2.3E-5</v>
      </c>
    </row>
    <row r="312" spans="1:8" x14ac:dyDescent="0.25">
      <c r="A312" s="9">
        <f t="shared" si="4"/>
        <v>749</v>
      </c>
      <c r="B312" s="2" t="s">
        <v>21</v>
      </c>
      <c r="C312" s="3">
        <v>2.6943730000000001</v>
      </c>
      <c r="D312" s="3">
        <v>-3.0696629999999998</v>
      </c>
      <c r="E312" s="3">
        <v>0</v>
      </c>
      <c r="F312" s="3">
        <v>8.8400000000000002E-4</v>
      </c>
      <c r="G312" s="3">
        <v>4.2900000000000002E-4</v>
      </c>
      <c r="H312" s="3">
        <v>-1.9999999999999999E-6</v>
      </c>
    </row>
    <row r="313" spans="1:8" x14ac:dyDescent="0.25">
      <c r="A313" s="9">
        <f t="shared" si="4"/>
        <v>755</v>
      </c>
      <c r="B313" s="2" t="s">
        <v>21</v>
      </c>
      <c r="C313" s="3">
        <v>2.6063589999999999</v>
      </c>
      <c r="D313" s="3">
        <v>-3.4736760000000002</v>
      </c>
      <c r="E313" s="3">
        <v>-0.62992400000000004</v>
      </c>
      <c r="F313" s="3">
        <v>1.2930000000000001E-3</v>
      </c>
      <c r="G313" s="3">
        <v>4.6799999999999999E-4</v>
      </c>
      <c r="H313" s="3">
        <v>-2.6999999999999999E-5</v>
      </c>
    </row>
    <row r="314" spans="1:8" x14ac:dyDescent="0.25">
      <c r="A314" s="9">
        <f t="shared" si="4"/>
        <v>768</v>
      </c>
      <c r="B314" s="2" t="s">
        <v>21</v>
      </c>
      <c r="C314" s="3">
        <v>1.834147</v>
      </c>
      <c r="D314" s="3">
        <v>-4.0297429999999999</v>
      </c>
      <c r="E314" s="3">
        <v>-6.5324970000000002</v>
      </c>
      <c r="F314" s="3">
        <v>1.6429999999999999E-3</v>
      </c>
      <c r="G314" s="3">
        <v>5.0000000000000002E-5</v>
      </c>
      <c r="H314" s="3">
        <v>7.9999999999999996E-6</v>
      </c>
    </row>
    <row r="315" spans="1:8" x14ac:dyDescent="0.25">
      <c r="A315" s="9">
        <f t="shared" si="4"/>
        <v>781</v>
      </c>
      <c r="B315" s="2" t="s">
        <v>21</v>
      </c>
      <c r="C315" s="3">
        <v>4.7215860000000003</v>
      </c>
      <c r="D315" s="3">
        <v>-2.310378</v>
      </c>
      <c r="E315" s="3">
        <v>-11.322448</v>
      </c>
      <c r="F315" s="3">
        <v>1.1800000000000001E-3</v>
      </c>
      <c r="G315" s="3">
        <v>7.2400000000000003E-4</v>
      </c>
      <c r="H315" s="3">
        <v>0</v>
      </c>
    </row>
    <row r="316" spans="1:8" x14ac:dyDescent="0.25">
      <c r="A316" s="9">
        <f t="shared" si="4"/>
        <v>794</v>
      </c>
      <c r="B316" s="2" t="s">
        <v>21</v>
      </c>
      <c r="C316" s="3">
        <v>7.5589170000000001</v>
      </c>
      <c r="D316" s="3">
        <v>-0.49978299999999998</v>
      </c>
      <c r="E316" s="3">
        <v>-6.6828960000000004</v>
      </c>
      <c r="F316" s="3">
        <v>8.4099999999999995E-4</v>
      </c>
      <c r="G316" s="3">
        <v>1.488E-3</v>
      </c>
      <c r="H316" s="3">
        <v>-6.9999999999999999E-6</v>
      </c>
    </row>
    <row r="317" spans="1:8" x14ac:dyDescent="0.25">
      <c r="A317" s="9">
        <f t="shared" si="4"/>
        <v>807</v>
      </c>
      <c r="B317" s="2" t="s">
        <v>21</v>
      </c>
      <c r="C317" s="3">
        <v>6.6077959999999996</v>
      </c>
      <c r="D317" s="3">
        <v>-0.79988899999999996</v>
      </c>
      <c r="E317" s="3">
        <v>-0.75683599999999995</v>
      </c>
      <c r="F317" s="3">
        <v>9.7099999999999997E-4</v>
      </c>
      <c r="G317" s="3">
        <v>9.5699999999999995E-4</v>
      </c>
      <c r="H317" s="3">
        <v>3.4E-5</v>
      </c>
    </row>
    <row r="318" spans="1:8" x14ac:dyDescent="0.25">
      <c r="A318" s="9">
        <f t="shared" si="4"/>
        <v>814</v>
      </c>
      <c r="B318" s="2" t="s">
        <v>21</v>
      </c>
      <c r="C318" s="3">
        <v>6.2397479999999996</v>
      </c>
      <c r="D318" s="3">
        <v>-0.73833800000000005</v>
      </c>
      <c r="E318" s="3">
        <v>0</v>
      </c>
      <c r="F318" s="3">
        <v>7.5299999999999998E-4</v>
      </c>
      <c r="G318" s="3">
        <v>6.2299999999999996E-4</v>
      </c>
      <c r="H318" s="3">
        <v>1.9000000000000001E-5</v>
      </c>
    </row>
    <row r="319" spans="1:8" x14ac:dyDescent="0.25">
      <c r="A319" s="9">
        <f t="shared" si="4"/>
        <v>821</v>
      </c>
      <c r="B319" s="2" t="s">
        <v>21</v>
      </c>
      <c r="C319" s="3">
        <v>6.3239979999999996</v>
      </c>
      <c r="D319" s="3">
        <v>-1.2815529999999999</v>
      </c>
      <c r="E319" s="3">
        <v>-1.9632E-2</v>
      </c>
      <c r="F319" s="3">
        <v>1.155E-3</v>
      </c>
      <c r="G319" s="3">
        <v>7.45E-4</v>
      </c>
      <c r="H319" s="3">
        <v>0</v>
      </c>
    </row>
    <row r="320" spans="1:8" x14ac:dyDescent="0.25">
      <c r="A320" s="9">
        <f t="shared" si="4"/>
        <v>834</v>
      </c>
      <c r="B320" s="2" t="s">
        <v>21</v>
      </c>
      <c r="C320" s="3">
        <v>5.9164779999999997</v>
      </c>
      <c r="D320" s="3">
        <v>-2.4747309999999998</v>
      </c>
      <c r="E320" s="3">
        <v>-4.7339060000000002</v>
      </c>
      <c r="F320" s="3">
        <v>1.621E-3</v>
      </c>
      <c r="G320" s="3">
        <v>3.9100000000000002E-4</v>
      </c>
      <c r="H320" s="3">
        <v>6.2000000000000003E-5</v>
      </c>
    </row>
    <row r="321" spans="1:8" x14ac:dyDescent="0.25">
      <c r="A321" s="9">
        <f t="shared" si="4"/>
        <v>847</v>
      </c>
      <c r="B321" s="2" t="s">
        <v>21</v>
      </c>
      <c r="C321" s="3">
        <v>8.9315499999999997</v>
      </c>
      <c r="D321" s="3">
        <v>-0.91609200000000002</v>
      </c>
      <c r="E321" s="3">
        <v>-8.7066970000000001</v>
      </c>
      <c r="F321" s="3">
        <v>1.1180000000000001E-3</v>
      </c>
      <c r="G321" s="3">
        <v>9.9599999999999992E-4</v>
      </c>
      <c r="H321" s="3">
        <v>5.7000000000000003E-5</v>
      </c>
    </row>
    <row r="322" spans="1:8" x14ac:dyDescent="0.25">
      <c r="A322" s="9">
        <f t="shared" si="4"/>
        <v>860</v>
      </c>
      <c r="B322" s="2" t="s">
        <v>21</v>
      </c>
      <c r="C322" s="3">
        <v>11.878048</v>
      </c>
      <c r="D322" s="3">
        <v>0.73643999999999998</v>
      </c>
      <c r="E322" s="3">
        <v>-3.9130560000000001</v>
      </c>
      <c r="F322" s="3">
        <v>6.8999999999999997E-4</v>
      </c>
      <c r="G322" s="3">
        <v>1.632E-3</v>
      </c>
      <c r="H322" s="3">
        <v>5.3999999999999998E-5</v>
      </c>
    </row>
    <row r="323" spans="1:8" x14ac:dyDescent="0.25">
      <c r="A323" s="9">
        <f t="shared" si="4"/>
        <v>873</v>
      </c>
      <c r="B323" s="2" t="s">
        <v>21</v>
      </c>
      <c r="C323" s="3">
        <v>11.44598</v>
      </c>
      <c r="D323" s="3">
        <v>-0.63012800000000002</v>
      </c>
      <c r="E323" s="3">
        <v>0.67797799999999997</v>
      </c>
      <c r="F323" s="3">
        <v>1.024E-3</v>
      </c>
      <c r="G323" s="3">
        <v>1.005E-3</v>
      </c>
      <c r="H323" s="3">
        <v>1.34E-4</v>
      </c>
    </row>
    <row r="324" spans="1:8" x14ac:dyDescent="0.25">
      <c r="A324" s="9">
        <f t="shared" si="4"/>
        <v>879</v>
      </c>
      <c r="B324" s="2" t="s">
        <v>21</v>
      </c>
      <c r="C324" s="3">
        <v>11.476421999999999</v>
      </c>
      <c r="D324" s="3">
        <v>-1.1749670000000001</v>
      </c>
      <c r="E324" s="3">
        <v>0</v>
      </c>
      <c r="F324" s="3">
        <v>8.7600000000000004E-4</v>
      </c>
      <c r="G324" s="3">
        <v>5.6700000000000001E-4</v>
      </c>
      <c r="H324" s="3">
        <v>1.6100000000000001E-4</v>
      </c>
    </row>
    <row r="325" spans="1:8" x14ac:dyDescent="0.25">
      <c r="A325" s="9">
        <f t="shared" si="4"/>
        <v>886</v>
      </c>
      <c r="B325" s="2" t="s">
        <v>21</v>
      </c>
      <c r="C325" s="3">
        <v>12.34177</v>
      </c>
      <c r="D325" s="3">
        <v>-2.5002239999999998</v>
      </c>
      <c r="E325" s="3">
        <v>-1.8817950000000001</v>
      </c>
      <c r="F325" s="3">
        <v>1.2869999999999999E-3</v>
      </c>
      <c r="G325" s="3">
        <v>7.1199999999999996E-4</v>
      </c>
      <c r="H325" s="3">
        <v>1.85E-4</v>
      </c>
    </row>
    <row r="326" spans="1:8" x14ac:dyDescent="0.25">
      <c r="A326" s="9">
        <f t="shared" si="4"/>
        <v>897</v>
      </c>
      <c r="B326" s="2" t="s">
        <v>21</v>
      </c>
      <c r="C326" s="3">
        <v>13.96768</v>
      </c>
      <c r="D326" s="3">
        <v>-5.3174999999999999</v>
      </c>
      <c r="E326" s="3">
        <v>-9.7384889999999995</v>
      </c>
      <c r="F326" s="3">
        <v>1.802E-3</v>
      </c>
      <c r="G326" s="3">
        <v>5.1400000000000003E-4</v>
      </c>
      <c r="H326" s="3">
        <v>2.6899999999999998E-4</v>
      </c>
    </row>
    <row r="327" spans="1:8" x14ac:dyDescent="0.25">
      <c r="A327" s="9">
        <f t="shared" si="4"/>
        <v>907</v>
      </c>
      <c r="B327" s="2" t="s">
        <v>21</v>
      </c>
      <c r="C327" s="3">
        <v>17.833955</v>
      </c>
      <c r="D327" s="3">
        <v>-4.9689639999999997</v>
      </c>
      <c r="E327" s="3">
        <v>-16.005385</v>
      </c>
      <c r="F327" s="3">
        <v>1.085E-3</v>
      </c>
      <c r="G327" s="3">
        <v>8.7399999999999999E-4</v>
      </c>
      <c r="H327" s="3">
        <v>2.6600000000000001E-4</v>
      </c>
    </row>
    <row r="328" spans="1:8" x14ac:dyDescent="0.25">
      <c r="A328" s="9">
        <f t="shared" si="4"/>
        <v>918</v>
      </c>
      <c r="B328" s="2" t="s">
        <v>21</v>
      </c>
      <c r="C328" s="3">
        <v>22.175138</v>
      </c>
      <c r="D328" s="3">
        <v>-4.4484079999999997</v>
      </c>
      <c r="E328" s="3">
        <v>-13.996729</v>
      </c>
      <c r="F328" s="3">
        <v>3.5599999999999998E-4</v>
      </c>
      <c r="G328" s="3">
        <v>1.4170000000000001E-3</v>
      </c>
      <c r="H328" s="3">
        <v>2.6400000000000002E-4</v>
      </c>
    </row>
    <row r="329" spans="1:8" ht="15.75" thickBot="1" x14ac:dyDescent="0.3">
      <c r="A329" s="19">
        <f t="shared" si="4"/>
        <v>930</v>
      </c>
      <c r="B329" s="18" t="s">
        <v>21</v>
      </c>
      <c r="C329" s="20">
        <v>26.768083000000001</v>
      </c>
      <c r="D329" s="20">
        <v>-3.6362610000000002</v>
      </c>
      <c r="E329" s="20">
        <v>0</v>
      </c>
      <c r="F329" s="20">
        <v>-7.6900000000000004E-4</v>
      </c>
      <c r="G329" s="20">
        <v>1.802E-3</v>
      </c>
      <c r="H329" s="20">
        <v>2.6800000000000001E-4</v>
      </c>
    </row>
    <row r="330" spans="1:8" ht="15.75" thickTop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58AFC-FEB2-4CB5-BF5C-464F8EFE2B3F}">
  <sheetPr codeName="Foglio4">
    <tabColor rgb="FFFF0000"/>
  </sheetPr>
  <dimension ref="C1:AE55"/>
  <sheetViews>
    <sheetView tabSelected="1" zoomScale="70" zoomScaleNormal="70" workbookViewId="0">
      <selection activeCell="Z16" sqref="Z16"/>
    </sheetView>
  </sheetViews>
  <sheetFormatPr defaultRowHeight="15" x14ac:dyDescent="0.25"/>
  <cols>
    <col min="5" max="5" width="17" customWidth="1"/>
    <col min="6" max="6" width="19.85546875" customWidth="1"/>
    <col min="9" max="9" width="11.5703125" bestFit="1" customWidth="1"/>
    <col min="11" max="11" width="16.28515625" hidden="1" customWidth="1"/>
    <col min="12" max="12" width="0" hidden="1" customWidth="1"/>
    <col min="13" max="13" width="14.5703125" customWidth="1"/>
    <col min="15" max="15" width="13.28515625" customWidth="1"/>
    <col min="18" max="18" width="16.42578125" bestFit="1" customWidth="1"/>
    <col min="20" max="20" width="16.42578125" bestFit="1" customWidth="1"/>
    <col min="22" max="22" width="16.42578125" bestFit="1" customWidth="1"/>
  </cols>
  <sheetData>
    <row r="1" spans="3:31" ht="15.75" thickBot="1" x14ac:dyDescent="0.3"/>
    <row r="2" spans="3:31" ht="15.75" thickBot="1" x14ac:dyDescent="0.3">
      <c r="E2" s="48" t="s">
        <v>17</v>
      </c>
      <c r="F2" s="49"/>
      <c r="G2" s="49"/>
      <c r="H2" s="49"/>
      <c r="I2" s="49"/>
      <c r="J2" s="49"/>
      <c r="K2" s="49"/>
      <c r="L2" s="49"/>
      <c r="M2" s="49"/>
      <c r="N2" s="49"/>
      <c r="O2" s="50"/>
    </row>
    <row r="3" spans="3:31" ht="15.75" thickBot="1" x14ac:dyDescent="0.3">
      <c r="C3" s="38" t="s">
        <v>20</v>
      </c>
      <c r="D3" s="38" t="s">
        <v>20</v>
      </c>
      <c r="E3" s="8"/>
      <c r="F3" s="51" t="s">
        <v>13</v>
      </c>
      <c r="G3" s="52"/>
      <c r="H3" s="8" t="s">
        <v>14</v>
      </c>
      <c r="I3" s="11" t="s">
        <v>9</v>
      </c>
      <c r="J3" s="11" t="s">
        <v>10</v>
      </c>
      <c r="K3" s="32" t="s">
        <v>26</v>
      </c>
      <c r="L3" s="32" t="s">
        <v>27</v>
      </c>
      <c r="M3" s="11" t="s">
        <v>15</v>
      </c>
      <c r="N3" s="11" t="s">
        <v>16</v>
      </c>
      <c r="O3" s="40" t="s">
        <v>0</v>
      </c>
      <c r="P3" s="7" t="s">
        <v>25</v>
      </c>
      <c r="T3" t="s">
        <v>55</v>
      </c>
    </row>
    <row r="4" spans="3:31" x14ac:dyDescent="0.25">
      <c r="C4" s="39">
        <f>_xlfn.XLOOKUP(H4,Nodi!$A:$A,Nodi!$B:$B)</f>
        <v>-355.18366700000001</v>
      </c>
      <c r="D4" s="39">
        <f>C4-$C$4</f>
        <v>0</v>
      </c>
      <c r="E4" s="58" t="s">
        <v>22</v>
      </c>
      <c r="F4" s="35"/>
      <c r="G4" s="53" t="s">
        <v>35</v>
      </c>
      <c r="H4" s="46">
        <v>930</v>
      </c>
      <c r="I4" s="22" cm="1">
        <f t="array" ref="I4">_xlfn.XLOOKUP(H4&amp;$T$11,disp!A:A&amp;disp!B:B,disp!E:E)</f>
        <v>0</v>
      </c>
      <c r="J4" s="22" cm="1">
        <f t="array" ref="J4">_xlfn.XLOOKUP(H4&amp;$T$12,disp!A:A&amp;disp!B:B,disp!E:E)</f>
        <v>0</v>
      </c>
      <c r="K4" s="23" t="e" cm="1">
        <f t="array" ref="K4">(MIN(INDEX(disp!$A$2:$H$274,MATCH(1,(disp!$A$2:$A$285=OUTput_Monta_TrSx!H4)*(disp!$B$2:$B$274="Tandem_Max(min)"),0),5),INDEX(disp!$A$2:$H$274,MATCH(1,(disp!$A$2:$A$285=OUTput_Monta_TrSx!H4)*(disp!$B$2:$B$274="tandem_Ecc(min)"),0),5)))</f>
        <v>#N/A</v>
      </c>
      <c r="L4" s="24" t="e">
        <f t="array" ref="L4">MIN(INDEX(disp!$A$2:$H$274,MATCH(1,(disp!$A$2:$A$285=OUTput_Monta_TrSx!H4)*(disp!$B$2:$B$274="Distr_Ecc(min)"),0),5),INDEX(disp!$A$2:$H$274,MATCH(1,(disp!$A$2:$A$285=OUTput_Monta_TrSx!H4)*(disp!$B$2:$B$274="Distr_Max(min)"),0),5))</f>
        <v>#N/A</v>
      </c>
      <c r="M4" s="29" cm="1">
        <f t="array" ref="M4">0.25*(_xlfn.XLOOKUP(H4&amp;$T$6,disp!A:A&amp;disp!B:B,disp!E:E)+_xlfn.XLOOKUP(H4&amp;$T$9,disp!A:A&amp;disp!B:B,disp!E:E))+0.25*(_xlfn.XLOOKUP(H4&amp;$T$7,disp!A:A&amp;disp!B:B,disp!E:E)+_xlfn.XLOOKUP(H4&amp;$T$8,disp!A:A&amp;disp!B:B,disp!E:E)+_xlfn.XLOOKUP(H4&amp;$T$10,disp!A:A&amp;disp!B:B,disp!E:E))</f>
        <v>0</v>
      </c>
      <c r="N4" s="22">
        <f t="shared" ref="N4:N44" si="0">ROUND(I4+J4+M4,0)</f>
        <v>0</v>
      </c>
      <c r="O4" s="41">
        <f>ABS(_xlfn.FLOOR.MATH(N4,5))</f>
        <v>0</v>
      </c>
      <c r="P4" s="6">
        <f>LOOKUP(H4,Elementi!$H:$H,Elementi!$E:$E)</f>
        <v>1</v>
      </c>
      <c r="R4" s="10"/>
      <c r="T4" s="37" t="str" cm="1">
        <f t="array" ref="T4:T13">_xlfn.UNIQUE(disp!B:B,FALSE,FALSE)</f>
        <v>Load</v>
      </c>
    </row>
    <row r="5" spans="3:31" x14ac:dyDescent="0.25">
      <c r="C5" s="39">
        <f>_xlfn.XLOOKUP(H5,Nodi!$A:$A,Nodi!$B:$B)</f>
        <v>-347.547012</v>
      </c>
      <c r="D5" s="39">
        <f t="shared" ref="D5:D44" si="1">C5-$C$4</f>
        <v>7.6366550000000188</v>
      </c>
      <c r="E5" s="56"/>
      <c r="F5" s="55" t="s">
        <v>34</v>
      </c>
      <c r="G5" s="54"/>
      <c r="H5" s="33">
        <v>918</v>
      </c>
      <c r="I5" s="25" cm="1">
        <f t="array" ref="I5">_xlfn.XLOOKUP(H5&amp;$T$11,disp!A:A&amp;disp!B:B,disp!E:E)</f>
        <v>-13.401657999999999</v>
      </c>
      <c r="J5" s="25" cm="1">
        <f t="array" ref="J5">_xlfn.XLOOKUP(H5&amp;$T$12,disp!A:A&amp;disp!B:B,disp!E:E)</f>
        <v>-13.996729</v>
      </c>
      <c r="K5" s="26" t="e" cm="1">
        <f t="array" ref="K5">(MIN(INDEX(disp!$A$2:$H$274,MATCH(1,(disp!$A$2:$A$285=OUTput_Monta_TrSx!H5)*(disp!$B$2:$B$274="Tandem_Max(min)"),0),5),INDEX(disp!$A$2:$H$274,MATCH(1,(disp!$A$2:$A$285=OUTput_Monta_TrSx!H5)*(disp!$B$2:$B$274="tandem_Ecc(min)"),0),5)))</f>
        <v>#N/A</v>
      </c>
      <c r="L5" s="14" t="e">
        <f t="array" ref="L5">MIN(INDEX(disp!$A$2:$H$274,MATCH(1,(disp!$A$2:$A$285=OUTput_Monta_TrSx!H5)*(disp!$B$2:$B$274="Distr_Ecc(min)"),0),5),INDEX(disp!$A$2:$H$274,MATCH(1,(disp!$A$2:$A$285=OUTput_Monta_TrSx!H5)*(disp!$B$2:$B$274="Distr_Max(min)"),0),5))</f>
        <v>#N/A</v>
      </c>
      <c r="M5" s="25" cm="1">
        <f t="array" ref="M5">0.25*(_xlfn.XLOOKUP(H5&amp;$T$6,disp!A:A&amp;disp!B:B,disp!E:E)+_xlfn.XLOOKUP(H5&amp;$T$9,disp!A:A&amp;disp!B:B,disp!E:E))+0.25*(_xlfn.XLOOKUP(H5&amp;$T$7,disp!A:A&amp;disp!B:B,disp!E:E)+_xlfn.XLOOKUP(H5&amp;$T$8,disp!A:A&amp;disp!B:B,disp!E:E)+_xlfn.XLOOKUP(H5&amp;$T$10,disp!A:A&amp;disp!B:B,disp!E:E))</f>
        <v>-16.43092875</v>
      </c>
      <c r="N5" s="25">
        <f t="shared" si="0"/>
        <v>-44</v>
      </c>
      <c r="O5" s="42">
        <f t="shared" ref="O5:O44" si="2">ABS(_xlfn.FLOOR.MATH(N5,5))</f>
        <v>45</v>
      </c>
      <c r="P5" s="6">
        <f>LOOKUP(H5,Elementi!$H:$H,Elementi!$E:$E)</f>
        <v>1</v>
      </c>
      <c r="R5" s="10"/>
      <c r="T5" s="37" t="str">
        <v>Tandem_Max_sx(min)</v>
      </c>
      <c r="AC5" s="1"/>
      <c r="AE5" s="13"/>
    </row>
    <row r="6" spans="3:31" x14ac:dyDescent="0.25">
      <c r="C6" s="39">
        <f>_xlfn.XLOOKUP(H6,Nodi!$A:$A,Nodi!$B:$B)</f>
        <v>-340.30556799999999</v>
      </c>
      <c r="D6" s="39">
        <f t="shared" si="1"/>
        <v>14.87809900000002</v>
      </c>
      <c r="E6" s="36"/>
      <c r="F6" s="55" t="s">
        <v>11</v>
      </c>
      <c r="G6" s="54" t="s">
        <v>36</v>
      </c>
      <c r="H6" s="33">
        <v>907</v>
      </c>
      <c r="I6" s="25" cm="1">
        <f t="array" ref="I6">_xlfn.XLOOKUP(H6&amp;$T$11,disp!A:A&amp;disp!B:B,disp!E:E)</f>
        <v>-16.113793000000001</v>
      </c>
      <c r="J6" s="25" cm="1">
        <f t="array" ref="J6">_xlfn.XLOOKUP(H6&amp;$T$12,disp!A:A&amp;disp!B:B,disp!E:E)</f>
        <v>-16.005385</v>
      </c>
      <c r="K6" s="26" t="e" cm="1">
        <f t="array" ref="K6">(MIN(INDEX(disp!$A$2:$H$274,MATCH(1,(disp!$A$2:$A$285=OUTput_Monta_TrSx!H6)*(disp!$B$2:$B$274="Tandem_Max(min)"),0),5),INDEX(disp!$A$2:$H$274,MATCH(1,(disp!$A$2:$A$285=OUTput_Monta_TrSx!H6)*(disp!$B$2:$B$274="tandem_Ecc(min)"),0),5)))</f>
        <v>#N/A</v>
      </c>
      <c r="L6" s="14" t="e">
        <f t="array" ref="L6">MIN(INDEX(disp!$A$2:$H$274,MATCH(1,(disp!$A$2:$A$285=OUTput_Monta_TrSx!H6)*(disp!$B$2:$B$274="Distr_Ecc(min)"),0),5),INDEX(disp!$A$2:$H$274,MATCH(1,(disp!$A$2:$A$285=OUTput_Monta_TrSx!H6)*(disp!$B$2:$B$274="Distr_Max(min)"),0),5))</f>
        <v>#N/A</v>
      </c>
      <c r="M6" s="25" cm="1">
        <f t="array" ref="M6">0.25*(_xlfn.XLOOKUP(H6&amp;$T$6,disp!A:A&amp;disp!B:B,disp!E:E)+_xlfn.XLOOKUP(H6&amp;$T$9,disp!A:A&amp;disp!B:B,disp!E:E))+0.25*(_xlfn.XLOOKUP(H6&amp;$T$7,disp!A:A&amp;disp!B:B,disp!E:E)+_xlfn.XLOOKUP(H6&amp;$T$8,disp!A:A&amp;disp!B:B,disp!E:E)+_xlfn.XLOOKUP(H6&amp;$T$10,disp!A:A&amp;disp!B:B,disp!E:E))</f>
        <v>-21.028131250000001</v>
      </c>
      <c r="N6" s="25">
        <f t="shared" si="0"/>
        <v>-53</v>
      </c>
      <c r="O6" s="42">
        <f t="shared" si="2"/>
        <v>55</v>
      </c>
      <c r="P6" s="6">
        <f>LOOKUP(H6,Elementi!$H:$H,Elementi!$E:$E)</f>
        <v>2</v>
      </c>
      <c r="R6" s="10"/>
      <c r="T6" s="37" t="str">
        <v>Distr_Ecc_sx(min)</v>
      </c>
      <c r="AD6" s="13"/>
      <c r="AE6" s="13"/>
    </row>
    <row r="7" spans="3:31" x14ac:dyDescent="0.25">
      <c r="C7" s="39">
        <f>_xlfn.XLOOKUP(H7,Nodi!$A:$A,Nodi!$B:$B)</f>
        <v>-333.52133600000002</v>
      </c>
      <c r="D7" s="39">
        <f t="shared" si="1"/>
        <v>21.662330999999995</v>
      </c>
      <c r="E7" s="36"/>
      <c r="F7" s="55" t="s">
        <v>33</v>
      </c>
      <c r="G7" s="54" t="s">
        <v>12</v>
      </c>
      <c r="H7" s="33">
        <v>897</v>
      </c>
      <c r="I7" s="25" cm="1">
        <f t="array" ref="I7">_xlfn.XLOOKUP(H7&amp;$T$11,disp!A:A&amp;disp!B:B,disp!E:E)</f>
        <v>-11.274527000000001</v>
      </c>
      <c r="J7" s="25" cm="1">
        <f t="array" ref="J7">_xlfn.XLOOKUP(H7&amp;$T$12,disp!A:A&amp;disp!B:B,disp!E:E)</f>
        <v>-9.7384889999999995</v>
      </c>
      <c r="K7" s="26" t="e" cm="1">
        <f t="array" ref="K7">(MIN(INDEX(disp!$A$2:$H$274,MATCH(1,(disp!$A$2:$A$285=OUTput_Monta_TrSx!H7)*(disp!$B$2:$B$274="Tandem_Max(min)"),0),5),INDEX(disp!$A$2:$H$274,MATCH(1,(disp!$A$2:$A$285=OUTput_Monta_TrSx!H7)*(disp!$B$2:$B$274="tandem_Ecc(min)"),0),5)))</f>
        <v>#N/A</v>
      </c>
      <c r="L7" s="14" t="e">
        <f t="array" ref="L7">MIN(INDEX(disp!$A$2:$H$274,MATCH(1,(disp!$A$2:$A$285=OUTput_Monta_TrSx!H7)*(disp!$B$2:$B$274="Distr_Ecc(min)"),0),5),INDEX(disp!$A$2:$H$274,MATCH(1,(disp!$A$2:$A$285=OUTput_Monta_TrSx!H7)*(disp!$B$2:$B$274="Distr_Max(min)"),0),5))</f>
        <v>#N/A</v>
      </c>
      <c r="M7" s="25" cm="1">
        <f t="array" ref="M7">0.25*(_xlfn.XLOOKUP(H7&amp;$T$6,disp!A:A&amp;disp!B:B,disp!E:E)+_xlfn.XLOOKUP(H7&amp;$T$9,disp!A:A&amp;disp!B:B,disp!E:E))+0.25*(_xlfn.XLOOKUP(H7&amp;$T$7,disp!A:A&amp;disp!B:B,disp!E:E)+_xlfn.XLOOKUP(H7&amp;$T$8,disp!A:A&amp;disp!B:B,disp!E:E)+_xlfn.XLOOKUP(H7&amp;$T$10,disp!A:A&amp;disp!B:B,disp!E:E))</f>
        <v>-16.024482250000002</v>
      </c>
      <c r="N7" s="25">
        <f t="shared" si="0"/>
        <v>-37</v>
      </c>
      <c r="O7" s="42">
        <f t="shared" si="2"/>
        <v>40</v>
      </c>
      <c r="P7" s="6">
        <f>LOOKUP(H7,Elementi!$H:$H,Elementi!$E:$E)</f>
        <v>3</v>
      </c>
      <c r="R7" s="10"/>
      <c r="T7" s="37" t="str">
        <v>Distr_max_sx(min)</v>
      </c>
      <c r="AD7" s="13"/>
      <c r="AE7" s="13"/>
    </row>
    <row r="8" spans="3:31" x14ac:dyDescent="0.25">
      <c r="C8" s="39">
        <f>_xlfn.XLOOKUP(H8,Nodi!$A:$A,Nodi!$B:$B)</f>
        <v>-325.849086</v>
      </c>
      <c r="D8" s="39">
        <f t="shared" si="1"/>
        <v>29.334581000000014</v>
      </c>
      <c r="E8" s="56" t="s">
        <v>38</v>
      </c>
      <c r="F8" s="55" t="s">
        <v>11</v>
      </c>
      <c r="G8" s="54" t="s">
        <v>37</v>
      </c>
      <c r="H8" s="45">
        <v>886</v>
      </c>
      <c r="I8" s="25" cm="1">
        <f t="array" ref="I8">_xlfn.XLOOKUP(H8&amp;$T$11,disp!A:A&amp;disp!B:B,disp!E:E)</f>
        <v>-2.5301499999999999</v>
      </c>
      <c r="J8" s="25" cm="1">
        <f t="array" ref="J8">_xlfn.XLOOKUP(H8&amp;$T$12,disp!A:A&amp;disp!B:B,disp!E:E)</f>
        <v>-1.8817950000000001</v>
      </c>
      <c r="K8" s="26" t="e" cm="1">
        <f t="array" ref="K8">(MIN(INDEX(disp!$A$2:$H$274,MATCH(1,(disp!$A$2:$A$285=OUTput_Monta_TrSx!H8)*(disp!$B$2:$B$274="Tandem_Max(min)"),0),5),INDEX(disp!$A$2:$H$274,MATCH(1,(disp!$A$2:$A$285=OUTput_Monta_TrSx!H8)*(disp!$B$2:$B$274="tandem_Ecc(min)"),0),5)))</f>
        <v>#N/A</v>
      </c>
      <c r="L8" s="14" t="e">
        <f t="array" ref="L8">MIN(INDEX(disp!$A$2:$H$274,MATCH(1,(disp!$A$2:$A$285=OUTput_Monta_TrSx!H8)*(disp!$B$2:$B$274="Distr_Ecc(min)"),0),5),INDEX(disp!$A$2:$H$274,MATCH(1,(disp!$A$2:$A$285=OUTput_Monta_TrSx!H8)*(disp!$B$2:$B$274="Distr_Max(min)"),0),5))</f>
        <v>#N/A</v>
      </c>
      <c r="M8" s="25" cm="1">
        <f t="array" ref="M8">0.25*(_xlfn.XLOOKUP(H8&amp;$T$6,disp!A:A&amp;disp!B:B,disp!E:E)+_xlfn.XLOOKUP(H8&amp;$T$9,disp!A:A&amp;disp!B:B,disp!E:E))+0.25*(_xlfn.XLOOKUP(H8&amp;$T$7,disp!A:A&amp;disp!B:B,disp!E:E)+_xlfn.XLOOKUP(H8&amp;$T$8,disp!A:A&amp;disp!B:B,disp!E:E)+_xlfn.XLOOKUP(H8&amp;$T$10,disp!A:A&amp;disp!B:B,disp!E:E))</f>
        <v>-5.2584217500000001</v>
      </c>
      <c r="N8" s="25">
        <f t="shared" si="0"/>
        <v>-10</v>
      </c>
      <c r="O8" s="42">
        <v>0</v>
      </c>
      <c r="P8" s="6">
        <f>LOOKUP(H8,Elementi!$H:$H,Elementi!$E:$E)</f>
        <v>4</v>
      </c>
      <c r="R8" s="10"/>
      <c r="T8" s="37" t="str">
        <v>Tandem Max sx piazzola(min)</v>
      </c>
      <c r="AC8" s="13"/>
      <c r="AD8" s="13"/>
      <c r="AE8" s="13"/>
    </row>
    <row r="9" spans="3:31" x14ac:dyDescent="0.25">
      <c r="C9" s="39">
        <f>_xlfn.XLOOKUP(H9,Nodi!$A:$A,Nodi!$B:$B)</f>
        <v>-321.53377599999999</v>
      </c>
      <c r="D9" s="39">
        <f t="shared" si="1"/>
        <v>33.649891000000025</v>
      </c>
      <c r="E9" s="56"/>
      <c r="F9" s="31"/>
      <c r="G9" s="54"/>
      <c r="H9" s="45">
        <v>879</v>
      </c>
      <c r="I9" s="25" cm="1">
        <f t="array" ref="I9">_xlfn.XLOOKUP(H9&amp;$T$11,disp!A:A&amp;disp!B:B,disp!E:E)</f>
        <v>0</v>
      </c>
      <c r="J9" s="25" cm="1">
        <f t="array" ref="J9">_xlfn.XLOOKUP(H9&amp;$T$12,disp!A:A&amp;disp!B:B,disp!E:E)</f>
        <v>0</v>
      </c>
      <c r="K9" s="26" t="e" cm="1">
        <f t="array" ref="K9">(MIN(INDEX(disp!$A$2:$H$274,MATCH(1,(disp!$A$2:$A$285=OUTput_Monta_TrSx!H9)*(disp!$B$2:$B$274="Tandem_Max(min)"),0),5),INDEX(disp!$A$2:$H$274,MATCH(1,(disp!$A$2:$A$285=OUTput_Monta_TrSx!H9)*(disp!$B$2:$B$274="tandem_Ecc(min)"),0),5)))</f>
        <v>#N/A</v>
      </c>
      <c r="L9" s="14" t="e">
        <f t="array" ref="L9">MIN(INDEX(disp!$A$2:$H$274,MATCH(1,(disp!$A$2:$A$285=OUTput_Monta_TrSx!H9)*(disp!$B$2:$B$274="Distr_Ecc(min)"),0),5),INDEX(disp!$A$2:$H$274,MATCH(1,(disp!$A$2:$A$285=OUTput_Monta_TrSx!H9)*(disp!$B$2:$B$274="Distr_Max(min)"),0),5))</f>
        <v>#N/A</v>
      </c>
      <c r="M9" s="25" cm="1">
        <f t="array" ref="M9">0.25*(_xlfn.XLOOKUP(H9&amp;$T$6,disp!A:A&amp;disp!B:B,disp!E:E)+_xlfn.XLOOKUP(H9&amp;$T$9,disp!A:A&amp;disp!B:B,disp!E:E))+0.25*(_xlfn.XLOOKUP(H9&amp;$T$7,disp!A:A&amp;disp!B:B,disp!E:E)+_xlfn.XLOOKUP(H9&amp;$T$8,disp!A:A&amp;disp!B:B,disp!E:E)+_xlfn.XLOOKUP(H9&amp;$T$10,disp!A:A&amp;disp!B:B,disp!E:E))</f>
        <v>0</v>
      </c>
      <c r="N9" s="25">
        <f t="shared" si="0"/>
        <v>0</v>
      </c>
      <c r="O9" s="42">
        <f t="shared" si="2"/>
        <v>0</v>
      </c>
      <c r="P9" s="6">
        <f>LOOKUP(H9,Elementi!$H:$H,Elementi!$E:$E)</f>
        <v>5</v>
      </c>
      <c r="T9" s="37" t="str">
        <v>Distr_ecc_sx_piazzola(min)</v>
      </c>
      <c r="AC9" s="13"/>
      <c r="AD9" s="13"/>
    </row>
    <row r="10" spans="3:31" x14ac:dyDescent="0.25">
      <c r="C10" s="39">
        <f>_xlfn.XLOOKUP(H10,Nodi!$A:$A,Nodi!$B:$B)</f>
        <v>-317.23603400000002</v>
      </c>
      <c r="D10" s="39">
        <f t="shared" si="1"/>
        <v>37.947632999999996</v>
      </c>
      <c r="E10" s="56"/>
      <c r="F10" s="55" t="s">
        <v>39</v>
      </c>
      <c r="G10" s="54"/>
      <c r="H10" s="45">
        <v>873</v>
      </c>
      <c r="I10" s="25" cm="1">
        <f t="array" ref="I10">_xlfn.XLOOKUP(H10&amp;$T$11,disp!A:A&amp;disp!B:B,disp!E:E)</f>
        <v>-2.2012040000000002</v>
      </c>
      <c r="J10" s="25" cm="1">
        <f t="array" ref="J10">_xlfn.XLOOKUP(H10&amp;$T$12,disp!A:A&amp;disp!B:B,disp!E:E)</f>
        <v>0.67797799999999997</v>
      </c>
      <c r="K10" s="26" t="e" cm="1">
        <f t="array" ref="K10">(MIN(INDEX(disp!$A$2:$H$274,MATCH(1,(disp!$A$2:$A$285=OUTput_Monta_TrSx!H10)*(disp!$B$2:$B$274="Tandem_Max(min)"),0),5),INDEX(disp!$A$2:$H$274,MATCH(1,(disp!$A$2:$A$285=OUTput_Monta_TrSx!H10)*(disp!$B$2:$B$274="tandem_Ecc(min)"),0),5)))</f>
        <v>#N/A</v>
      </c>
      <c r="L10" s="14" t="e">
        <f t="array" ref="L10">MIN(INDEX(disp!$A$2:$H$274,MATCH(1,(disp!$A$2:$A$285=OUTput_Monta_TrSx!H10)*(disp!$B$2:$B$274="Distr_Ecc(min)"),0),5),INDEX(disp!$A$2:$H$274,MATCH(1,(disp!$A$2:$A$285=OUTput_Monta_TrSx!H10)*(disp!$B$2:$B$274="Distr_Max(min)"),0),5))</f>
        <v>#N/A</v>
      </c>
      <c r="M10" s="25" cm="1">
        <f t="array" ref="M10">0.25*(_xlfn.XLOOKUP(H10&amp;$T$6,disp!A:A&amp;disp!B:B,disp!E:E)+_xlfn.XLOOKUP(H10&amp;$T$9,disp!A:A&amp;disp!B:B,disp!E:E))+0.25*(_xlfn.XLOOKUP(H10&amp;$T$7,disp!A:A&amp;disp!B:B,disp!E:E)+_xlfn.XLOOKUP(H10&amp;$T$8,disp!A:A&amp;disp!B:B,disp!E:E)+_xlfn.XLOOKUP(H10&amp;$T$10,disp!A:A&amp;disp!B:B,disp!E:E))</f>
        <v>-4.2840389999999999</v>
      </c>
      <c r="N10" s="25">
        <f t="shared" si="0"/>
        <v>-6</v>
      </c>
      <c r="O10" s="42">
        <v>0</v>
      </c>
      <c r="P10" s="6">
        <f>LOOKUP(H10,Elementi!$H:$H,Elementi!$E:$E)</f>
        <v>5</v>
      </c>
      <c r="T10" s="37" t="str">
        <v>G1</v>
      </c>
      <c r="AC10" s="13"/>
      <c r="AD10" s="13"/>
      <c r="AE10" s="13"/>
    </row>
    <row r="11" spans="3:31" x14ac:dyDescent="0.25">
      <c r="C11" s="39">
        <f>_xlfn.XLOOKUP(H11,Nodi!$A:$A,Nodi!$B:$B)</f>
        <v>-308.35538000000003</v>
      </c>
      <c r="D11" s="39">
        <f t="shared" si="1"/>
        <v>46.828286999999989</v>
      </c>
      <c r="E11" s="36"/>
      <c r="F11" s="55"/>
      <c r="G11" s="54" t="s">
        <v>40</v>
      </c>
      <c r="H11" s="33">
        <v>860</v>
      </c>
      <c r="I11" s="25" cm="1">
        <f t="array" ref="I11">_xlfn.XLOOKUP(H11&amp;$T$11,disp!A:A&amp;disp!B:B,disp!E:E)</f>
        <v>-11.341972999999999</v>
      </c>
      <c r="J11" s="25" cm="1">
        <f t="array" ref="J11">_xlfn.XLOOKUP(H11&amp;$T$12,disp!A:A&amp;disp!B:B,disp!E:E)</f>
        <v>-3.9130560000000001</v>
      </c>
      <c r="K11" s="26" t="e" cm="1">
        <f t="array" ref="K11">(MIN(INDEX(disp!$A$2:$H$274,MATCH(1,(disp!$A$2:$A$285=OUTput_Monta_TrSx!H11)*(disp!$B$2:$B$274="Tandem_Max(min)"),0),5),INDEX(disp!$A$2:$H$274,MATCH(1,(disp!$A$2:$A$285=OUTput_Monta_TrSx!H11)*(disp!$B$2:$B$274="tandem_Ecc(min)"),0),5)))</f>
        <v>#N/A</v>
      </c>
      <c r="L11" s="14" t="e">
        <f t="array" ref="L11">MIN(INDEX(disp!$A$2:$H$274,MATCH(1,(disp!$A$2:$A$285=OUTput_Monta_TrSx!H11)*(disp!$B$2:$B$274="Distr_Ecc(min)"),0),5),INDEX(disp!$A$2:$H$274,MATCH(1,(disp!$A$2:$A$285=OUTput_Monta_TrSx!H11)*(disp!$B$2:$B$274="Distr_Max(min)"),0),5))</f>
        <v>#N/A</v>
      </c>
      <c r="M11" s="25" cm="1">
        <f t="array" ref="M11">0.25*(_xlfn.XLOOKUP(H11&amp;$T$6,disp!A:A&amp;disp!B:B,disp!E:E)+_xlfn.XLOOKUP(H11&amp;$T$9,disp!A:A&amp;disp!B:B,disp!E:E))+0.25*(_xlfn.XLOOKUP(H11&amp;$T$7,disp!A:A&amp;disp!B:B,disp!E:E)+_xlfn.XLOOKUP(H11&amp;$T$8,disp!A:A&amp;disp!B:B,disp!E:E)+_xlfn.XLOOKUP(H11&amp;$T$10,disp!A:A&amp;disp!B:B,disp!E:E))</f>
        <v>-15.979413750000001</v>
      </c>
      <c r="N11" s="25">
        <f t="shared" si="0"/>
        <v>-31</v>
      </c>
      <c r="O11" s="42">
        <f t="shared" si="2"/>
        <v>35</v>
      </c>
      <c r="P11" s="6">
        <f>LOOKUP(H11,Elementi!$H:$H,Elementi!$E:$E)</f>
        <v>6</v>
      </c>
      <c r="T11" s="37" t="str">
        <v>G2</v>
      </c>
      <c r="AD11" s="13"/>
      <c r="AE11" s="13"/>
    </row>
    <row r="12" spans="3:31" x14ac:dyDescent="0.25">
      <c r="C12" s="39">
        <f>_xlfn.XLOOKUP(H12,Nodi!$A:$A,Nodi!$B:$B)</f>
        <v>-299.214136</v>
      </c>
      <c r="D12" s="39">
        <f t="shared" si="1"/>
        <v>55.969531000000018</v>
      </c>
      <c r="E12" s="36"/>
      <c r="F12" s="55" t="s">
        <v>41</v>
      </c>
      <c r="G12" s="54"/>
      <c r="H12" s="33">
        <v>847</v>
      </c>
      <c r="I12" s="25" cm="1">
        <f t="array" ref="I12">_xlfn.XLOOKUP(H12&amp;$T$11,disp!A:A&amp;disp!B:B,disp!E:E)</f>
        <v>-16.037607000000001</v>
      </c>
      <c r="J12" s="25" cm="1">
        <f t="array" ref="J12">_xlfn.XLOOKUP(H12&amp;$T$12,disp!A:A&amp;disp!B:B,disp!E:E)</f>
        <v>-8.7066970000000001</v>
      </c>
      <c r="K12" s="26" t="e" cm="1">
        <f t="array" ref="K12">(MIN(INDEX(disp!$A$2:$H$274,MATCH(1,(disp!$A$2:$A$285=OUTput_Monta_TrSx!H12)*(disp!$B$2:$B$274="Tandem_Max(min)"),0),5),INDEX(disp!$A$2:$H$274,MATCH(1,(disp!$A$2:$A$285=OUTput_Monta_TrSx!H12)*(disp!$B$2:$B$274="tandem_Ecc(min)"),0),5)))</f>
        <v>#N/A</v>
      </c>
      <c r="L12" s="14" t="e">
        <f t="array" ref="L12">MIN(INDEX(disp!$A$2:$H$274,MATCH(1,(disp!$A$2:$A$285=OUTput_Monta_TrSx!H12)*(disp!$B$2:$B$274="Distr_Ecc(min)"),0),5),INDEX(disp!$A$2:$H$274,MATCH(1,(disp!$A$2:$A$285=OUTput_Monta_TrSx!H12)*(disp!$B$2:$B$274="Distr_Max(min)"),0),5))</f>
        <v>#N/A</v>
      </c>
      <c r="M12" s="25" cm="1">
        <f t="array" ref="M12">0.25*(_xlfn.XLOOKUP(H12&amp;$T$6,disp!A:A&amp;disp!B:B,disp!E:E)+_xlfn.XLOOKUP(H12&amp;$T$9,disp!A:A&amp;disp!B:B,disp!E:E))+0.25*(_xlfn.XLOOKUP(H12&amp;$T$7,disp!A:A&amp;disp!B:B,disp!E:E)+_xlfn.XLOOKUP(H12&amp;$T$8,disp!A:A&amp;disp!B:B,disp!E:E)+_xlfn.XLOOKUP(H12&amp;$T$10,disp!A:A&amp;disp!B:B,disp!E:E))</f>
        <v>-22.426074250000003</v>
      </c>
      <c r="N12" s="25">
        <f t="shared" si="0"/>
        <v>-47</v>
      </c>
      <c r="O12" s="42">
        <f t="shared" si="2"/>
        <v>50</v>
      </c>
      <c r="P12" s="6">
        <f>LOOKUP(H12,Elementi!$H:$H,Elementi!$E:$E)</f>
        <v>7</v>
      </c>
      <c r="T12" s="37" t="str">
        <v>E2-Ritiro</v>
      </c>
      <c r="AD12" s="13"/>
      <c r="AE12" s="13"/>
    </row>
    <row r="13" spans="3:31" x14ac:dyDescent="0.25">
      <c r="C13" s="39">
        <f>_xlfn.XLOOKUP(H13,Nodi!$A:$A,Nodi!$B:$B)</f>
        <v>-289.86499600000002</v>
      </c>
      <c r="D13" s="39">
        <f t="shared" si="1"/>
        <v>65.318670999999995</v>
      </c>
      <c r="E13" s="36"/>
      <c r="F13" s="55"/>
      <c r="G13" s="54" t="s">
        <v>42</v>
      </c>
      <c r="H13" s="33">
        <v>834</v>
      </c>
      <c r="I13" s="25" cm="1">
        <f t="array" ref="I13">_xlfn.XLOOKUP(H13&amp;$T$11,disp!A:A&amp;disp!B:B,disp!E:E)</f>
        <v>-11.4842</v>
      </c>
      <c r="J13" s="25" cm="1">
        <f t="array" ref="J13">_xlfn.XLOOKUP(H13&amp;$T$12,disp!A:A&amp;disp!B:B,disp!E:E)</f>
        <v>-4.7339060000000002</v>
      </c>
      <c r="K13" s="26" t="e" cm="1">
        <f t="array" ref="K13">(MIN(INDEX(disp!$A$2:$H$274,MATCH(1,(disp!$A$2:$A$285=OUTput_Monta_TrSx!H13)*(disp!$B$2:$B$274="Tandem_Max(min)"),0),5),INDEX(disp!$A$2:$H$274,MATCH(1,(disp!$A$2:$A$285=OUTput_Monta_TrSx!H13)*(disp!$B$2:$B$274="tandem_Ecc(min)"),0),5)))</f>
        <v>#N/A</v>
      </c>
      <c r="L13" s="14" t="e">
        <f t="array" ref="L13">MIN(INDEX(disp!$A$2:$H$274,MATCH(1,(disp!$A$2:$A$285=OUTput_Monta_TrSx!H13)*(disp!$B$2:$B$274="Distr_Ecc(min)"),0),5),INDEX(disp!$A$2:$H$274,MATCH(1,(disp!$A$2:$A$285=OUTput_Monta_TrSx!H13)*(disp!$B$2:$B$274="Distr_Max(min)"),0),5))</f>
        <v>#N/A</v>
      </c>
      <c r="M13" s="25" cm="1">
        <f t="array" ref="M13">0.25*(_xlfn.XLOOKUP(H13&amp;$T$6,disp!A:A&amp;disp!B:B,disp!E:E)+_xlfn.XLOOKUP(H13&amp;$T$9,disp!A:A&amp;disp!B:B,disp!E:E))+0.25*(_xlfn.XLOOKUP(H13&amp;$T$7,disp!A:A&amp;disp!B:B,disp!E:E)+_xlfn.XLOOKUP(H13&amp;$T$8,disp!A:A&amp;disp!B:B,disp!E:E)+_xlfn.XLOOKUP(H13&amp;$T$10,disp!A:A&amp;disp!B:B,disp!E:E))</f>
        <v>-17.385714499999999</v>
      </c>
      <c r="N13" s="25">
        <f t="shared" si="0"/>
        <v>-34</v>
      </c>
      <c r="O13" s="42">
        <f t="shared" si="2"/>
        <v>35</v>
      </c>
      <c r="P13" s="6">
        <f>LOOKUP(H13,Elementi!$H:$H,Elementi!$E:$E)</f>
        <v>8</v>
      </c>
      <c r="T13" s="37">
        <v>0</v>
      </c>
      <c r="AD13" s="13"/>
      <c r="AE13" s="13"/>
    </row>
    <row r="14" spans="3:31" x14ac:dyDescent="0.25">
      <c r="C14" s="39">
        <f>_xlfn.XLOOKUP(H14,Nodi!$A:$A,Nodi!$B:$B)</f>
        <v>-280.294354</v>
      </c>
      <c r="D14" s="39">
        <f t="shared" si="1"/>
        <v>74.889313000000016</v>
      </c>
      <c r="E14" s="56" t="s">
        <v>43</v>
      </c>
      <c r="F14" s="55" t="s">
        <v>44</v>
      </c>
      <c r="G14" s="54"/>
      <c r="H14" s="45">
        <v>821</v>
      </c>
      <c r="I14" s="25" cm="1">
        <f t="array" ref="I14">_xlfn.XLOOKUP(H14&amp;$T$11,disp!A:A&amp;disp!B:B,disp!E:E)</f>
        <v>-2.2889659999999998</v>
      </c>
      <c r="J14" s="25" cm="1">
        <f t="array" ref="J14">_xlfn.XLOOKUP(H14&amp;$T$12,disp!A:A&amp;disp!B:B,disp!E:E)</f>
        <v>-1.9632E-2</v>
      </c>
      <c r="K14" s="26" t="e" cm="1">
        <f t="array" ref="K14">(MIN(INDEX(disp!$A$2:$H$274,MATCH(1,(disp!$A$2:$A$285=OUTput_Monta_TrSx!H14)*(disp!$B$2:$B$274="Tandem_Max(min)"),0),5),INDEX(disp!$A$2:$H$274,MATCH(1,(disp!$A$2:$A$285=OUTput_Monta_TrSx!H14)*(disp!$B$2:$B$274="tandem_Ecc(min)"),0),5)))</f>
        <v>#N/A</v>
      </c>
      <c r="L14" s="14" t="e">
        <f t="array" ref="L14">MIN(INDEX(disp!$A$2:$H$274,MATCH(1,(disp!$A$2:$A$285=OUTput_Monta_TrSx!H14)*(disp!$B$2:$B$274="Distr_Ecc(min)"),0),5),INDEX(disp!$A$2:$H$274,MATCH(1,(disp!$A$2:$A$285=OUTput_Monta_TrSx!H14)*(disp!$B$2:$B$274="Distr_Max(min)"),0),5))</f>
        <v>#N/A</v>
      </c>
      <c r="M14" s="25" cm="1">
        <f t="array" ref="M14">0.25*(_xlfn.XLOOKUP(H14&amp;$T$6,disp!A:A&amp;disp!B:B,disp!E:E)+_xlfn.XLOOKUP(H14&amp;$T$9,disp!A:A&amp;disp!B:B,disp!E:E))+0.25*(_xlfn.XLOOKUP(H14&amp;$T$7,disp!A:A&amp;disp!B:B,disp!E:E)+_xlfn.XLOOKUP(H14&amp;$T$8,disp!A:A&amp;disp!B:B,disp!E:E)+_xlfn.XLOOKUP(H14&amp;$T$10,disp!A:A&amp;disp!B:B,disp!E:E))</f>
        <v>-5.3549582499999993</v>
      </c>
      <c r="N14" s="25">
        <f t="shared" si="0"/>
        <v>-8</v>
      </c>
      <c r="O14" s="42">
        <v>0</v>
      </c>
      <c r="P14" s="6">
        <f>LOOKUP(H14,Elementi!$H:$H,Elementi!$E:$E)</f>
        <v>9</v>
      </c>
      <c r="AC14" s="13"/>
      <c r="AD14" s="13"/>
      <c r="AE14" s="13"/>
    </row>
    <row r="15" spans="3:31" x14ac:dyDescent="0.25">
      <c r="C15" s="39">
        <f>_xlfn.XLOOKUP(H15,Nodi!$A:$A,Nodi!$B:$B)</f>
        <v>-275.38218000000001</v>
      </c>
      <c r="D15" s="39">
        <f t="shared" si="1"/>
        <v>79.801487000000009</v>
      </c>
      <c r="E15" s="56"/>
      <c r="F15" s="55"/>
      <c r="G15" s="12"/>
      <c r="H15" s="45">
        <v>814</v>
      </c>
      <c r="I15" s="25" cm="1">
        <f t="array" ref="I15">_xlfn.XLOOKUP(H15&amp;$T$11,disp!A:A&amp;disp!B:B,disp!E:E)</f>
        <v>0</v>
      </c>
      <c r="J15" s="25" cm="1">
        <f t="array" ref="J15">_xlfn.XLOOKUP(H15&amp;$T$12,disp!A:A&amp;disp!B:B,disp!E:E)</f>
        <v>0</v>
      </c>
      <c r="K15" s="26" t="e" cm="1">
        <f t="array" ref="K15">(MIN(INDEX(disp!$A$2:$H$274,MATCH(1,(disp!$A$2:$A$285=OUTput_Monta_TrSx!H15)*(disp!$B$2:$B$274="Tandem_Max(min)"),0),5),INDEX(disp!$A$2:$H$274,MATCH(1,(disp!$A$2:$A$285=OUTput_Monta_TrSx!H15)*(disp!$B$2:$B$274="tandem_Ecc(min)"),0),5)))</f>
        <v>#N/A</v>
      </c>
      <c r="L15" s="14" t="e">
        <f t="array" ref="L15">MIN(INDEX(disp!$A$2:$H$274,MATCH(1,(disp!$A$2:$A$285=OUTput_Monta_TrSx!H15)*(disp!$B$2:$B$274="Distr_Ecc(min)"),0),5),INDEX(disp!$A$2:$H$274,MATCH(1,(disp!$A$2:$A$285=OUTput_Monta_TrSx!H15)*(disp!$B$2:$B$274="Distr_Max(min)"),0),5))</f>
        <v>#N/A</v>
      </c>
      <c r="M15" s="25" cm="1">
        <f t="array" ref="M15">0.25*(_xlfn.XLOOKUP(H15&amp;$T$6,disp!A:A&amp;disp!B:B,disp!E:E)+_xlfn.XLOOKUP(H15&amp;$T$9,disp!A:A&amp;disp!B:B,disp!E:E))+0.25*(_xlfn.XLOOKUP(H15&amp;$T$7,disp!A:A&amp;disp!B:B,disp!E:E)+_xlfn.XLOOKUP(H15&amp;$T$8,disp!A:A&amp;disp!B:B,disp!E:E)+_xlfn.XLOOKUP(H15&amp;$T$10,disp!A:A&amp;disp!B:B,disp!E:E))</f>
        <v>0</v>
      </c>
      <c r="N15" s="25">
        <f t="shared" si="0"/>
        <v>0</v>
      </c>
      <c r="O15" s="42">
        <f t="shared" si="2"/>
        <v>0</v>
      </c>
      <c r="P15" s="6">
        <f>LOOKUP(H15,Elementi!$H:$H,Elementi!$E:$E)</f>
        <v>10</v>
      </c>
      <c r="AC15" s="13"/>
      <c r="AE15" s="13"/>
    </row>
    <row r="16" spans="3:31" x14ac:dyDescent="0.25">
      <c r="C16" s="39">
        <f>_xlfn.XLOOKUP(H16,Nodi!$A:$A,Nodi!$B:$B)</f>
        <v>-270.49730299999999</v>
      </c>
      <c r="D16" s="39">
        <f t="shared" si="1"/>
        <v>84.686364000000026</v>
      </c>
      <c r="E16" s="56"/>
      <c r="F16" s="55"/>
      <c r="G16" s="54" t="s">
        <v>45</v>
      </c>
      <c r="H16" s="45">
        <v>807</v>
      </c>
      <c r="I16" s="25" cm="1">
        <f t="array" ref="I16">_xlfn.XLOOKUP(H16&amp;$T$11,disp!A:A&amp;disp!B:B,disp!E:E)</f>
        <v>-2.2676479999999999</v>
      </c>
      <c r="J16" s="25" cm="1">
        <f t="array" ref="J16">_xlfn.XLOOKUP(H16&amp;$T$12,disp!A:A&amp;disp!B:B,disp!E:E)</f>
        <v>-0.75683599999999995</v>
      </c>
      <c r="K16" s="26" t="e" cm="1">
        <f t="array" ref="K16">(MIN(INDEX(disp!$A$2:$H$274,MATCH(1,(disp!$A$2:$A$285=OUTput_Monta_TrSx!H16)*(disp!$B$2:$B$274="Tandem_Max(min)"),0),5),INDEX(disp!$A$2:$H$274,MATCH(1,(disp!$A$2:$A$285=OUTput_Monta_TrSx!H16)*(disp!$B$2:$B$274="tandem_Ecc(min)"),0),5)))</f>
        <v>#N/A</v>
      </c>
      <c r="L16" s="14" t="e">
        <f t="array" ref="L16">MIN(INDEX(disp!$A$2:$H$274,MATCH(1,(disp!$A$2:$A$285=OUTput_Monta_TrSx!H16)*(disp!$B$2:$B$274="Distr_Ecc(min)"),0),5),INDEX(disp!$A$2:$H$274,MATCH(1,(disp!$A$2:$A$285=OUTput_Monta_TrSx!H16)*(disp!$B$2:$B$274="Distr_Max(min)"),0),5))</f>
        <v>#N/A</v>
      </c>
      <c r="M16" s="25" cm="1">
        <f t="array" ref="M16">0.25*(_xlfn.XLOOKUP(H16&amp;$T$6,disp!A:A&amp;disp!B:B,disp!E:E)+_xlfn.XLOOKUP(H16&amp;$T$9,disp!A:A&amp;disp!B:B,disp!E:E))+0.25*(_xlfn.XLOOKUP(H16&amp;$T$7,disp!A:A&amp;disp!B:B,disp!E:E)+_xlfn.XLOOKUP(H16&amp;$T$8,disp!A:A&amp;disp!B:B,disp!E:E)+_xlfn.XLOOKUP(H16&amp;$T$10,disp!A:A&amp;disp!B:B,disp!E:E))</f>
        <v>-5.8337279999999998</v>
      </c>
      <c r="N16" s="25">
        <f t="shared" si="0"/>
        <v>-9</v>
      </c>
      <c r="O16" s="42">
        <v>0</v>
      </c>
      <c r="P16" s="6">
        <f>LOOKUP(H16,Elementi!$H:$H,Elementi!$E:$E)</f>
        <v>10</v>
      </c>
      <c r="AC16" s="13"/>
      <c r="AD16" s="13"/>
      <c r="AE16" s="13"/>
    </row>
    <row r="17" spans="3:31" x14ac:dyDescent="0.25">
      <c r="C17" s="39">
        <f>_xlfn.XLOOKUP(H17,Nodi!$A:$A,Nodi!$B:$B)</f>
        <v>-260.48305099999999</v>
      </c>
      <c r="D17" s="39">
        <f t="shared" si="1"/>
        <v>94.700616000000025</v>
      </c>
      <c r="E17" s="36"/>
      <c r="F17" s="55" t="s">
        <v>46</v>
      </c>
      <c r="G17" s="54"/>
      <c r="H17" s="33">
        <v>794</v>
      </c>
      <c r="I17" s="25" cm="1">
        <f t="array" ref="I17">_xlfn.XLOOKUP(H17&amp;$T$11,disp!A:A&amp;disp!B:B,disp!E:E)</f>
        <v>-11.359612</v>
      </c>
      <c r="J17" s="25" cm="1">
        <f t="array" ref="J17">_xlfn.XLOOKUP(H17&amp;$T$12,disp!A:A&amp;disp!B:B,disp!E:E)</f>
        <v>-6.6828960000000004</v>
      </c>
      <c r="K17" s="26" t="e" cm="1">
        <f t="array" ref="K17">(MIN(INDEX(disp!$A$2:$H$274,MATCH(1,(disp!$A$2:$A$285=OUTput_Monta_TrSx!H17)*(disp!$B$2:$B$274="Tandem_Max(min)"),0),5),INDEX(disp!$A$2:$H$274,MATCH(1,(disp!$A$2:$A$285=OUTput_Monta_TrSx!H17)*(disp!$B$2:$B$274="tandem_Ecc(min)"),0),5)))</f>
        <v>#N/A</v>
      </c>
      <c r="L17" s="14" t="e">
        <f t="array" ref="L17">MIN(INDEX(disp!$A$2:$H$274,MATCH(1,(disp!$A$2:$A$285=OUTput_Monta_TrSx!H17)*(disp!$B$2:$B$274="Distr_Ecc(min)"),0),5),INDEX(disp!$A$2:$H$274,MATCH(1,(disp!$A$2:$A$285=OUTput_Monta_TrSx!H17)*(disp!$B$2:$B$274="Distr_Max(min)"),0),5))</f>
        <v>#N/A</v>
      </c>
      <c r="M17" s="25" cm="1">
        <f t="array" ref="M17">0.25*(_xlfn.XLOOKUP(H17&amp;$T$6,disp!A:A&amp;disp!B:B,disp!E:E)+_xlfn.XLOOKUP(H17&amp;$T$9,disp!A:A&amp;disp!B:B,disp!E:E))+0.25*(_xlfn.XLOOKUP(H17&amp;$T$7,disp!A:A&amp;disp!B:B,disp!E:E)+_xlfn.XLOOKUP(H17&amp;$T$8,disp!A:A&amp;disp!B:B,disp!E:E)+_xlfn.XLOOKUP(H17&amp;$T$10,disp!A:A&amp;disp!B:B,disp!E:E))</f>
        <v>-19.151506999999999</v>
      </c>
      <c r="N17" s="25">
        <f t="shared" si="0"/>
        <v>-37</v>
      </c>
      <c r="O17" s="42">
        <f t="shared" si="2"/>
        <v>40</v>
      </c>
      <c r="P17" s="6">
        <f>LOOKUP(H17,Elementi!$H:$H,Elementi!$E:$E)</f>
        <v>11</v>
      </c>
      <c r="AD17" s="13"/>
      <c r="AE17" s="13"/>
    </row>
    <row r="18" spans="3:31" x14ac:dyDescent="0.25">
      <c r="C18" s="39">
        <f>_xlfn.XLOOKUP(H18,Nodi!$A:$A,Nodi!$B:$B)</f>
        <v>-250.24801500000001</v>
      </c>
      <c r="D18" s="39">
        <f t="shared" si="1"/>
        <v>104.935652</v>
      </c>
      <c r="E18" s="36"/>
      <c r="F18" s="55"/>
      <c r="G18" s="54" t="s">
        <v>46</v>
      </c>
      <c r="H18" s="33">
        <v>781</v>
      </c>
      <c r="I18" s="25" cm="1">
        <f t="array" ref="I18">_xlfn.XLOOKUP(H18&amp;$T$11,disp!A:A&amp;disp!B:B,disp!E:E)</f>
        <v>-15.973411</v>
      </c>
      <c r="J18" s="25" cm="1">
        <f t="array" ref="J18">_xlfn.XLOOKUP(H18&amp;$T$12,disp!A:A&amp;disp!B:B,disp!E:E)</f>
        <v>-11.322448</v>
      </c>
      <c r="K18" s="26" t="e" cm="1">
        <f t="array" ref="K18">(MIN(INDEX(disp!$A$2:$H$274,MATCH(1,(disp!$A$2:$A$285=OUTput_Monta_TrSx!H18)*(disp!$B$2:$B$274="Tandem_Max(min)"),0),5),INDEX(disp!$A$2:$H$274,MATCH(1,(disp!$A$2:$A$285=OUTput_Monta_TrSx!H18)*(disp!$B$2:$B$274="tandem_Ecc(min)"),0),5)))</f>
        <v>#N/A</v>
      </c>
      <c r="L18" s="14" t="e">
        <f t="array" ref="L18">MIN(INDEX(disp!$A$2:$H$274,MATCH(1,(disp!$A$2:$A$285=OUTput_Monta_TrSx!H18)*(disp!$B$2:$B$274="Distr_Ecc(min)"),0),5),INDEX(disp!$A$2:$H$274,MATCH(1,(disp!$A$2:$A$285=OUTput_Monta_TrSx!H18)*(disp!$B$2:$B$274="Distr_Max(min)"),0),5))</f>
        <v>#N/A</v>
      </c>
      <c r="M18" s="25" cm="1">
        <f t="array" ref="M18">0.25*(_xlfn.XLOOKUP(H18&amp;$T$6,disp!A:A&amp;disp!B:B,disp!E:E)+_xlfn.XLOOKUP(H18&amp;$T$9,disp!A:A&amp;disp!B:B,disp!E:E))+0.25*(_xlfn.XLOOKUP(H18&amp;$T$7,disp!A:A&amp;disp!B:B,disp!E:E)+_xlfn.XLOOKUP(H18&amp;$T$8,disp!A:A&amp;disp!B:B,disp!E:E)+_xlfn.XLOOKUP(H18&amp;$T$10,disp!A:A&amp;disp!B:B,disp!E:E))</f>
        <v>-25.343603999999999</v>
      </c>
      <c r="N18" s="25">
        <f t="shared" si="0"/>
        <v>-53</v>
      </c>
      <c r="O18" s="42">
        <f t="shared" si="2"/>
        <v>55</v>
      </c>
      <c r="P18" s="6">
        <f>LOOKUP(H18,Elementi!$H:$H,Elementi!$E:$E)</f>
        <v>12</v>
      </c>
      <c r="AD18" s="13"/>
      <c r="AE18" s="13"/>
    </row>
    <row r="19" spans="3:31" x14ac:dyDescent="0.25">
      <c r="C19" s="39">
        <f>_xlfn.XLOOKUP(H19,Nodi!$A:$A,Nodi!$B:$B)</f>
        <v>-239.84479400000001</v>
      </c>
      <c r="D19" s="39">
        <f t="shared" si="1"/>
        <v>115.33887300000001</v>
      </c>
      <c r="E19" s="36"/>
      <c r="F19" s="55" t="s">
        <v>45</v>
      </c>
      <c r="G19" s="54"/>
      <c r="H19" s="33">
        <v>768</v>
      </c>
      <c r="I19" s="25" cm="1">
        <f t="array" ref="I19">_xlfn.XLOOKUP(H19&amp;$T$11,disp!A:A&amp;disp!B:B,disp!E:E)</f>
        <v>-11.443136000000001</v>
      </c>
      <c r="J19" s="25" cm="1">
        <f t="array" ref="J19">_xlfn.XLOOKUP(H19&amp;$T$12,disp!A:A&amp;disp!B:B,disp!E:E)</f>
        <v>-6.5324970000000002</v>
      </c>
      <c r="K19" s="26" t="e" cm="1">
        <f t="array" ref="K19">(MIN(INDEX(disp!$A$2:$H$274,MATCH(1,(disp!$A$2:$A$285=OUTput_Monta_TrSx!H19)*(disp!$B$2:$B$274="Tandem_Max(min)"),0),5),INDEX(disp!$A$2:$H$274,MATCH(1,(disp!$A$2:$A$285=OUTput_Monta_TrSx!H19)*(disp!$B$2:$B$274="tandem_Ecc(min)"),0),5)))</f>
        <v>#N/A</v>
      </c>
      <c r="L19" s="14" t="e">
        <f t="array" ref="L19">MIN(INDEX(disp!$A$2:$H$274,MATCH(1,(disp!$A$2:$A$285=OUTput_Monta_TrSx!H19)*(disp!$B$2:$B$274="Distr_Ecc(min)"),0),5),INDEX(disp!$A$2:$H$274,MATCH(1,(disp!$A$2:$A$285=OUTput_Monta_TrSx!H19)*(disp!$B$2:$B$274="Distr_Max(min)"),0),5))</f>
        <v>#N/A</v>
      </c>
      <c r="M19" s="25" cm="1">
        <f t="array" ref="M19">0.25*(_xlfn.XLOOKUP(H19&amp;$T$6,disp!A:A&amp;disp!B:B,disp!E:E)+_xlfn.XLOOKUP(H19&amp;$T$9,disp!A:A&amp;disp!B:B,disp!E:E))+0.25*(_xlfn.XLOOKUP(H19&amp;$T$7,disp!A:A&amp;disp!B:B,disp!E:E)+_xlfn.XLOOKUP(H19&amp;$T$8,disp!A:A&amp;disp!B:B,disp!E:E)+_xlfn.XLOOKUP(H19&amp;$T$10,disp!A:A&amp;disp!B:B,disp!E:E))</f>
        <v>-19.159942749999999</v>
      </c>
      <c r="N19" s="25">
        <f t="shared" si="0"/>
        <v>-37</v>
      </c>
      <c r="O19" s="42">
        <f t="shared" si="2"/>
        <v>40</v>
      </c>
      <c r="P19" s="6">
        <f>LOOKUP(H19,Elementi!$H:$H,Elementi!$E:$E)</f>
        <v>12</v>
      </c>
      <c r="AD19" s="13"/>
      <c r="AE19" s="13"/>
    </row>
    <row r="20" spans="3:31" x14ac:dyDescent="0.25">
      <c r="C20" s="39">
        <f>_xlfn.XLOOKUP(H20,Nodi!$A:$A,Nodi!$B:$B)</f>
        <v>-229.27229399999999</v>
      </c>
      <c r="D20" s="39">
        <f t="shared" si="1"/>
        <v>125.91137300000003</v>
      </c>
      <c r="E20" s="56" t="s">
        <v>50</v>
      </c>
      <c r="F20" s="55"/>
      <c r="G20" s="54" t="s">
        <v>44</v>
      </c>
      <c r="H20" s="45">
        <v>755</v>
      </c>
      <c r="I20" s="25" cm="1">
        <f t="array" ref="I20">_xlfn.XLOOKUP(H20&amp;$T$11,disp!A:A&amp;disp!B:B,disp!E:E)</f>
        <v>-2.3567740000000001</v>
      </c>
      <c r="J20" s="25" cm="1">
        <f t="array" ref="J20">_xlfn.XLOOKUP(H20&amp;$T$12,disp!A:A&amp;disp!B:B,disp!E:E)</f>
        <v>-0.62992400000000004</v>
      </c>
      <c r="K20" s="26" t="e" cm="1">
        <f t="array" ref="K20">(MIN(INDEX(disp!$A$2:$H$274,MATCH(1,(disp!$A$2:$A$285=OUTput_Monta_TrSx!H20)*(disp!$B$2:$B$274="Tandem_Max(min)"),0),5),INDEX(disp!$A$2:$H$274,MATCH(1,(disp!$A$2:$A$285=OUTput_Monta_TrSx!H20)*(disp!$B$2:$B$274="tandem_Ecc(min)"),0),5)))</f>
        <v>#N/A</v>
      </c>
      <c r="L20" s="14" t="e">
        <f t="array" ref="L20">MIN(INDEX(disp!$A$2:$H$274,MATCH(1,(disp!$A$2:$A$285=OUTput_Monta_TrSx!H20)*(disp!$B$2:$B$274="Distr_Ecc(min)"),0),5),INDEX(disp!$A$2:$H$274,MATCH(1,(disp!$A$2:$A$285=OUTput_Monta_TrSx!H20)*(disp!$B$2:$B$274="Distr_Max(min)"),0),5))</f>
        <v>#N/A</v>
      </c>
      <c r="M20" s="25" cm="1">
        <f t="array" ref="M20">0.25*(_xlfn.XLOOKUP(H20&amp;$T$6,disp!A:A&amp;disp!B:B,disp!E:E)+_xlfn.XLOOKUP(H20&amp;$T$9,disp!A:A&amp;disp!B:B,disp!E:E))+0.25*(_xlfn.XLOOKUP(H20&amp;$T$7,disp!A:A&amp;disp!B:B,disp!E:E)+_xlfn.XLOOKUP(H20&amp;$T$8,disp!A:A&amp;disp!B:B,disp!E:E)+_xlfn.XLOOKUP(H20&amp;$T$10,disp!A:A&amp;disp!B:B,disp!E:E))</f>
        <v>-5.8918982500000006</v>
      </c>
      <c r="N20" s="25">
        <f t="shared" si="0"/>
        <v>-9</v>
      </c>
      <c r="O20" s="42">
        <v>0</v>
      </c>
      <c r="P20" s="6">
        <f>LOOKUP(H20,Elementi!$H:$H,Elementi!$E:$E)</f>
        <v>11</v>
      </c>
      <c r="AC20" s="13"/>
      <c r="AD20" s="13"/>
      <c r="AE20" s="13"/>
    </row>
    <row r="21" spans="3:31" x14ac:dyDescent="0.25">
      <c r="C21" s="39">
        <f>_xlfn.XLOOKUP(H21,Nodi!$A:$A,Nodi!$B:$B)</f>
        <v>-223.88602499999999</v>
      </c>
      <c r="D21" s="39">
        <f t="shared" si="1"/>
        <v>131.29764200000002</v>
      </c>
      <c r="E21" s="56"/>
      <c r="F21" s="31"/>
      <c r="G21" s="54"/>
      <c r="H21" s="45">
        <v>749</v>
      </c>
      <c r="I21" s="25" cm="1">
        <f t="array" ref="I21">_xlfn.XLOOKUP(H21&amp;$T$11,disp!A:A&amp;disp!B:B,disp!E:E)</f>
        <v>0</v>
      </c>
      <c r="J21" s="25" cm="1">
        <f t="array" ref="J21">_xlfn.XLOOKUP(H21&amp;$T$12,disp!A:A&amp;disp!B:B,disp!E:E)</f>
        <v>0</v>
      </c>
      <c r="K21" s="26" t="e" cm="1">
        <f t="array" ref="K21">(MIN(INDEX(disp!$A$2:$H$274,MATCH(1,(disp!$A$2:$A$285=OUTput_Monta_TrSx!H21)*(disp!$B$2:$B$274="Tandem_Max(min)"),0),5),INDEX(disp!$A$2:$H$274,MATCH(1,(disp!$A$2:$A$285=OUTput_Monta_TrSx!H21)*(disp!$B$2:$B$274="tandem_Ecc(min)"),0),5)))</f>
        <v>#N/A</v>
      </c>
      <c r="L21" s="14" t="e">
        <f t="array" ref="L21">MIN(INDEX(disp!$A$2:$H$274,MATCH(1,(disp!$A$2:$A$285=OUTput_Monta_TrSx!H21)*(disp!$B$2:$B$274="Distr_Ecc(min)"),0),5),INDEX(disp!$A$2:$H$274,MATCH(1,(disp!$A$2:$A$285=OUTput_Monta_TrSx!H21)*(disp!$B$2:$B$274="Distr_Max(min)"),0),5))</f>
        <v>#N/A</v>
      </c>
      <c r="M21" s="25" cm="1">
        <f t="array" ref="M21">0.25*(_xlfn.XLOOKUP(H21&amp;$T$6,disp!A:A&amp;disp!B:B,disp!E:E)+_xlfn.XLOOKUP(H21&amp;$T$9,disp!A:A&amp;disp!B:B,disp!E:E))+0.25*(_xlfn.XLOOKUP(H21&amp;$T$7,disp!A:A&amp;disp!B:B,disp!E:E)+_xlfn.XLOOKUP(H21&amp;$T$8,disp!A:A&amp;disp!B:B,disp!E:E)+_xlfn.XLOOKUP(H21&amp;$T$10,disp!A:A&amp;disp!B:B,disp!E:E))</f>
        <v>0</v>
      </c>
      <c r="N21" s="25">
        <f t="shared" si="0"/>
        <v>0</v>
      </c>
      <c r="O21" s="42">
        <f t="shared" si="2"/>
        <v>0</v>
      </c>
      <c r="P21" s="6">
        <f>LOOKUP(H21,Elementi!$H:$H,Elementi!$E:$E)</f>
        <v>10</v>
      </c>
      <c r="Q21" s="2"/>
      <c r="AC21" s="13"/>
      <c r="AD21" s="13"/>
    </row>
    <row r="22" spans="3:31" x14ac:dyDescent="0.25">
      <c r="C22" s="39">
        <f>_xlfn.XLOOKUP(H22,Nodi!$A:$A,Nodi!$B:$B)</f>
        <v>-218.530957</v>
      </c>
      <c r="D22" s="39">
        <f t="shared" si="1"/>
        <v>136.65271000000001</v>
      </c>
      <c r="E22" s="56"/>
      <c r="F22" s="55" t="s">
        <v>45</v>
      </c>
      <c r="G22" s="54"/>
      <c r="H22" s="45">
        <v>742</v>
      </c>
      <c r="I22" s="25" cm="1">
        <f t="array" ref="I22">_xlfn.XLOOKUP(H22&amp;$T$11,disp!A:A&amp;disp!B:B,disp!E:E)</f>
        <v>-2.1447769999999999</v>
      </c>
      <c r="J22" s="25" cm="1">
        <f t="array" ref="J22">_xlfn.XLOOKUP(H22&amp;$T$12,disp!A:A&amp;disp!B:B,disp!E:E)</f>
        <v>-0.27688099999999999</v>
      </c>
      <c r="K22" s="26" t="e" cm="1">
        <f t="array" ref="K22">(MIN(INDEX(disp!$A$2:$H$274,MATCH(1,(disp!$A$2:$A$285=OUTput_Monta_TrSx!H22)*(disp!$B$2:$B$274="Tandem_Max(min)"),0),5),INDEX(disp!$A$2:$H$274,MATCH(1,(disp!$A$2:$A$285=OUTput_Monta_TrSx!H22)*(disp!$B$2:$B$274="tandem_Ecc(min)"),0),5)))</f>
        <v>#N/A</v>
      </c>
      <c r="L22" s="14" t="e">
        <f t="array" ref="L22">MIN(INDEX(disp!$A$2:$H$274,MATCH(1,(disp!$A$2:$A$285=OUTput_Monta_TrSx!H22)*(disp!$B$2:$B$274="Distr_Ecc(min)"),0),5),INDEX(disp!$A$2:$H$274,MATCH(1,(disp!$A$2:$A$285=OUTput_Monta_TrSx!H22)*(disp!$B$2:$B$274="Distr_Max(min)"),0),5))</f>
        <v>#N/A</v>
      </c>
      <c r="M22" s="25" cm="1">
        <f t="array" ref="M22">0.25*(_xlfn.XLOOKUP(H22&amp;$T$6,disp!A:A&amp;disp!B:B,disp!E:E)+_xlfn.XLOOKUP(H22&amp;$T$9,disp!A:A&amp;disp!B:B,disp!E:E))+0.25*(_xlfn.XLOOKUP(H22&amp;$T$7,disp!A:A&amp;disp!B:B,disp!E:E)+_xlfn.XLOOKUP(H22&amp;$T$8,disp!A:A&amp;disp!B:B,disp!E:E)+_xlfn.XLOOKUP(H22&amp;$T$10,disp!A:A&amp;disp!B:B,disp!E:E))</f>
        <v>-5.5126747500000004</v>
      </c>
      <c r="N22" s="25">
        <f t="shared" si="0"/>
        <v>-8</v>
      </c>
      <c r="O22" s="42">
        <v>0</v>
      </c>
      <c r="P22" s="6">
        <f>LOOKUP(H22,Elementi!$H:$H,Elementi!$E:$E)</f>
        <v>10</v>
      </c>
      <c r="Q22" s="2"/>
      <c r="AC22" s="13"/>
      <c r="AD22" s="13"/>
      <c r="AE22" s="13"/>
    </row>
    <row r="23" spans="3:31" x14ac:dyDescent="0.25">
      <c r="C23" s="39">
        <f>_xlfn.XLOOKUP(H23,Nodi!$A:$A,Nodi!$B:$B)</f>
        <v>-207.59036699999999</v>
      </c>
      <c r="D23" s="39">
        <f t="shared" si="1"/>
        <v>147.59330000000003</v>
      </c>
      <c r="E23" s="36"/>
      <c r="F23" s="55"/>
      <c r="G23" s="54" t="s">
        <v>46</v>
      </c>
      <c r="H23" s="33">
        <v>729</v>
      </c>
      <c r="I23" s="25" cm="1">
        <f t="array" ref="I23">_xlfn.XLOOKUP(H23&amp;$T$11,disp!A:A&amp;disp!B:B,disp!E:E)</f>
        <v>-10.946899999999999</v>
      </c>
      <c r="J23" s="25" cm="1">
        <f t="array" ref="J23">_xlfn.XLOOKUP(H23&amp;$T$12,disp!A:A&amp;disp!B:B,disp!E:E)</f>
        <v>-5.6518980000000001</v>
      </c>
      <c r="K23" s="26" t="e" cm="1">
        <f t="array" ref="K23">(MIN(INDEX(disp!$A$2:$H$274,MATCH(1,(disp!$A$2:$A$285=OUTput_Monta_TrSx!H23)*(disp!$B$2:$B$274="Tandem_Max(min)"),0),5),INDEX(disp!$A$2:$H$274,MATCH(1,(disp!$A$2:$A$285=OUTput_Monta_TrSx!H23)*(disp!$B$2:$B$274="tandem_Ecc(min)"),0),5)))</f>
        <v>#N/A</v>
      </c>
      <c r="L23" s="14" t="e">
        <f t="array" ref="L23">MIN(INDEX(disp!$A$2:$H$274,MATCH(1,(disp!$A$2:$A$285=OUTput_Monta_TrSx!H23)*(disp!$B$2:$B$274="Distr_Ecc(min)"),0),5),INDEX(disp!$A$2:$H$274,MATCH(1,(disp!$A$2:$A$285=OUTput_Monta_TrSx!H23)*(disp!$B$2:$B$274="Distr_Max(min)"),0),5))</f>
        <v>#N/A</v>
      </c>
      <c r="M23" s="25" cm="1">
        <f t="array" ref="M23">0.25*(_xlfn.XLOOKUP(H23&amp;$T$6,disp!A:A&amp;disp!B:B,disp!E:E)+_xlfn.XLOOKUP(H23&amp;$T$9,disp!A:A&amp;disp!B:B,disp!E:E))+0.25*(_xlfn.XLOOKUP(H23&amp;$T$7,disp!A:A&amp;disp!B:B,disp!E:E)+_xlfn.XLOOKUP(H23&amp;$T$8,disp!A:A&amp;disp!B:B,disp!E:E)+_xlfn.XLOOKUP(H23&amp;$T$10,disp!A:A&amp;disp!B:B,disp!E:E))</f>
        <v>-18.301625000000001</v>
      </c>
      <c r="N23" s="25">
        <f t="shared" si="0"/>
        <v>-35</v>
      </c>
      <c r="O23" s="42">
        <f t="shared" si="2"/>
        <v>35</v>
      </c>
      <c r="P23" s="6">
        <f>LOOKUP(H23,Elementi!$H:$H,Elementi!$E:$E)</f>
        <v>11</v>
      </c>
      <c r="Q23" s="2"/>
      <c r="R23" s="2"/>
      <c r="AD23" s="13"/>
      <c r="AE23" s="13"/>
    </row>
    <row r="24" spans="3:31" x14ac:dyDescent="0.25">
      <c r="C24" s="39">
        <f>_xlfn.XLOOKUP(H24,Nodi!$A:$A,Nodi!$B:$B)</f>
        <v>-196.506666</v>
      </c>
      <c r="D24" s="39">
        <f t="shared" si="1"/>
        <v>158.67700100000002</v>
      </c>
      <c r="E24" s="36"/>
      <c r="F24" s="55" t="s">
        <v>46</v>
      </c>
      <c r="G24" s="54"/>
      <c r="H24" s="33">
        <v>716</v>
      </c>
      <c r="I24" s="25" cm="1">
        <f t="array" ref="I24">_xlfn.XLOOKUP(H24&amp;$T$11,disp!A:A&amp;disp!B:B,disp!E:E)</f>
        <v>-15.296766</v>
      </c>
      <c r="J24" s="25" cm="1">
        <f t="array" ref="J24">_xlfn.XLOOKUP(H24&amp;$T$12,disp!A:A&amp;disp!B:B,disp!E:E)</f>
        <v>-10.190999</v>
      </c>
      <c r="K24" s="26" t="e" cm="1">
        <f t="array" ref="K24">(MIN(INDEX(disp!$A$2:$H$274,MATCH(1,(disp!$A$2:$A$285=OUTput_Monta_TrSx!H24)*(disp!$B$2:$B$274="Tandem_Max(min)"),0),5),INDEX(disp!$A$2:$H$274,MATCH(1,(disp!$A$2:$A$285=OUTput_Monta_TrSx!H24)*(disp!$B$2:$B$274="tandem_Ecc(min)"),0),5)))</f>
        <v>#N/A</v>
      </c>
      <c r="L24" s="14" t="e">
        <f t="array" ref="L24">MIN(INDEX(disp!$A$2:$H$274,MATCH(1,(disp!$A$2:$A$285=OUTput_Monta_TrSx!H24)*(disp!$B$2:$B$274="Distr_Ecc(min)"),0),5),INDEX(disp!$A$2:$H$274,MATCH(1,(disp!$A$2:$A$285=OUTput_Monta_TrSx!H24)*(disp!$B$2:$B$274="Distr_Max(min)"),0),5))</f>
        <v>#N/A</v>
      </c>
      <c r="M24" s="25" cm="1">
        <f t="array" ref="M24">0.25*(_xlfn.XLOOKUP(H24&amp;$T$6,disp!A:A&amp;disp!B:B,disp!E:E)+_xlfn.XLOOKUP(H24&amp;$T$9,disp!A:A&amp;disp!B:B,disp!E:E))+0.25*(_xlfn.XLOOKUP(H24&amp;$T$7,disp!A:A&amp;disp!B:B,disp!E:E)+_xlfn.XLOOKUP(H24&amp;$T$8,disp!A:A&amp;disp!B:B,disp!E:E)+_xlfn.XLOOKUP(H24&amp;$T$10,disp!A:A&amp;disp!B:B,disp!E:E))</f>
        <v>-24.242960750000002</v>
      </c>
      <c r="N24" s="25">
        <f t="shared" si="0"/>
        <v>-50</v>
      </c>
      <c r="O24" s="42">
        <f t="shared" si="2"/>
        <v>50</v>
      </c>
      <c r="P24" s="6">
        <f>LOOKUP(H24,Elementi!$H:$H,Elementi!$E:$E)</f>
        <v>12</v>
      </c>
      <c r="Q24" s="2"/>
      <c r="R24" s="2"/>
      <c r="AD24" s="13"/>
      <c r="AE24" s="13"/>
    </row>
    <row r="25" spans="3:31" x14ac:dyDescent="0.25">
      <c r="C25" s="39">
        <f>_xlfn.XLOOKUP(H25,Nodi!$A:$A,Nodi!$B:$B)</f>
        <v>-185.29452599999999</v>
      </c>
      <c r="D25" s="39">
        <f t="shared" si="1"/>
        <v>169.88914100000002</v>
      </c>
      <c r="E25" s="4"/>
      <c r="F25" s="55"/>
      <c r="G25" s="54" t="s">
        <v>45</v>
      </c>
      <c r="H25" s="33">
        <v>703</v>
      </c>
      <c r="I25" s="25" cm="1">
        <f t="array" ref="I25">_xlfn.XLOOKUP(H25&amp;$T$11,disp!A:A&amp;disp!B:B,disp!E:E)</f>
        <v>-10.688236</v>
      </c>
      <c r="J25" s="25" cm="1">
        <f t="array" ref="J25">_xlfn.XLOOKUP(H25&amp;$T$12,disp!A:A&amp;disp!B:B,disp!E:E)</f>
        <v>-5.7146039999999996</v>
      </c>
      <c r="K25" s="26" t="e" cm="1">
        <f t="array" ref="K25">(MIN(INDEX(disp!$A$2:$H$274,MATCH(1,(disp!$A$2:$A$285=OUTput_Monta_TrSx!H25)*(disp!$B$2:$B$274="Tandem_Max(min)"),0),5),INDEX(disp!$A$2:$H$274,MATCH(1,(disp!$A$2:$A$285=OUTput_Monta_TrSx!H25)*(disp!$B$2:$B$274="tandem_Ecc(min)"),0),5)))</f>
        <v>#N/A</v>
      </c>
      <c r="L25" s="14" t="e">
        <f t="array" ref="L25">MIN(INDEX(disp!$A$2:$H$274,MATCH(1,(disp!$A$2:$A$285=OUTput_Monta_TrSx!H25)*(disp!$B$2:$B$274="Distr_Ecc(min)"),0),5),INDEX(disp!$A$2:$H$274,MATCH(1,(disp!$A$2:$A$285=OUTput_Monta_TrSx!H25)*(disp!$B$2:$B$274="Distr_Max(min)"),0),5))</f>
        <v>#N/A</v>
      </c>
      <c r="M25" s="25" cm="1">
        <f t="array" ref="M25">0.25*(_xlfn.XLOOKUP(H25&amp;$T$6,disp!A:A&amp;disp!B:B,disp!E:E)+_xlfn.XLOOKUP(H25&amp;$T$9,disp!A:A&amp;disp!B:B,disp!E:E))+0.25*(_xlfn.XLOOKUP(H25&amp;$T$7,disp!A:A&amp;disp!B:B,disp!E:E)+_xlfn.XLOOKUP(H25&amp;$T$8,disp!A:A&amp;disp!B:B,disp!E:E)+_xlfn.XLOOKUP(H25&amp;$T$10,disp!A:A&amp;disp!B:B,disp!E:E))</f>
        <v>-18.194314249999998</v>
      </c>
      <c r="N25" s="25">
        <f t="shared" si="0"/>
        <v>-35</v>
      </c>
      <c r="O25" s="42">
        <f t="shared" si="2"/>
        <v>35</v>
      </c>
      <c r="P25" s="6">
        <f>LOOKUP(H25,Elementi!$H:$H,Elementi!$E:$E)</f>
        <v>12</v>
      </c>
      <c r="Q25" s="2"/>
      <c r="R25" s="2"/>
      <c r="AD25" s="13"/>
      <c r="AE25" s="13"/>
    </row>
    <row r="26" spans="3:31" x14ac:dyDescent="0.25">
      <c r="C26" s="39">
        <f>_xlfn.XLOOKUP(H26,Nodi!$A:$A,Nodi!$B:$B)</f>
        <v>-173.920951</v>
      </c>
      <c r="D26" s="39">
        <f t="shared" si="1"/>
        <v>181.26271600000001</v>
      </c>
      <c r="E26" s="60" t="s">
        <v>51</v>
      </c>
      <c r="F26" s="55" t="s">
        <v>44</v>
      </c>
      <c r="G26" s="54"/>
      <c r="H26" s="45">
        <v>690</v>
      </c>
      <c r="I26" s="25" cm="1">
        <f t="array" ref="I26">_xlfn.XLOOKUP(H26&amp;$T$11,disp!A:A&amp;disp!B:B,disp!E:E)</f>
        <v>-1.927735</v>
      </c>
      <c r="J26" s="25" cm="1">
        <f t="array" ref="J26">_xlfn.XLOOKUP(H26&amp;$T$12,disp!A:A&amp;disp!B:B,disp!E:E)</f>
        <v>-0.32791500000000001</v>
      </c>
      <c r="K26" s="26" t="e" cm="1">
        <f t="array" ref="K26">(MIN(INDEX(disp!$A$2:$H$274,MATCH(1,(disp!$A$2:$A$285=OUTput_Monta_TrSx!H26)*(disp!$B$2:$B$274="Tandem_Max(min)"),0),5),INDEX(disp!$A$2:$H$274,MATCH(1,(disp!$A$2:$A$285=OUTput_Monta_TrSx!H26)*(disp!$B$2:$B$274="tandem_Ecc(min)"),0),5)))</f>
        <v>#N/A</v>
      </c>
      <c r="L26" s="14" t="e">
        <f t="array" ref="L26">MIN(INDEX(disp!$A$2:$H$274,MATCH(1,(disp!$A$2:$A$285=OUTput_Monta_TrSx!H26)*(disp!$B$2:$B$274="Distr_Ecc(min)"),0),5),INDEX(disp!$A$2:$H$274,MATCH(1,(disp!$A$2:$A$285=OUTput_Monta_TrSx!H26)*(disp!$B$2:$B$274="Distr_Max(min)"),0),5))</f>
        <v>#N/A</v>
      </c>
      <c r="M26" s="25" cm="1">
        <f t="array" ref="M26">0.25*(_xlfn.XLOOKUP(H26&amp;$T$6,disp!A:A&amp;disp!B:B,disp!E:E)+_xlfn.XLOOKUP(H26&amp;$T$9,disp!A:A&amp;disp!B:B,disp!E:E))+0.25*(_xlfn.XLOOKUP(H26&amp;$T$7,disp!A:A&amp;disp!B:B,disp!E:E)+_xlfn.XLOOKUP(H26&amp;$T$8,disp!A:A&amp;disp!B:B,disp!E:E)+_xlfn.XLOOKUP(H26&amp;$T$10,disp!A:A&amp;disp!B:B,disp!E:E))</f>
        <v>-5.4356989999999996</v>
      </c>
      <c r="N26" s="25">
        <f t="shared" si="0"/>
        <v>-8</v>
      </c>
      <c r="O26" s="42">
        <v>0</v>
      </c>
      <c r="P26" s="6">
        <f>LOOKUP(H26,Elementi!$H:$H,Elementi!$E:$E)</f>
        <v>11</v>
      </c>
      <c r="Q26" s="2"/>
      <c r="R26" s="2"/>
      <c r="AC26" s="13"/>
      <c r="AD26" s="13"/>
      <c r="AE26" s="13"/>
    </row>
    <row r="27" spans="3:31" x14ac:dyDescent="0.25">
      <c r="C27" s="39">
        <f>_xlfn.XLOOKUP(H27,Nodi!$A:$A,Nodi!$B:$B)</f>
        <v>-168.20399900000001</v>
      </c>
      <c r="D27" s="39">
        <f t="shared" si="1"/>
        <v>186.979668</v>
      </c>
      <c r="E27" s="61"/>
      <c r="F27" s="55"/>
      <c r="G27" s="12"/>
      <c r="H27" s="45">
        <v>684</v>
      </c>
      <c r="I27" s="25" cm="1">
        <f t="array" ref="I27">_xlfn.XLOOKUP(H27&amp;$T$11,disp!A:A&amp;disp!B:B,disp!E:E)</f>
        <v>0</v>
      </c>
      <c r="J27" s="25" cm="1">
        <f t="array" ref="J27">_xlfn.XLOOKUP(H27&amp;$T$12,disp!A:A&amp;disp!B:B,disp!E:E)</f>
        <v>0</v>
      </c>
      <c r="K27" s="26" t="e" cm="1">
        <f t="array" ref="K27">(MIN(INDEX(disp!$A$2:$H$274,MATCH(1,(disp!$A$2:$A$285=OUTput_Monta_TrSx!H27)*(disp!$B$2:$B$274="Tandem_Max(min)"),0),5),INDEX(disp!$A$2:$H$274,MATCH(1,(disp!$A$2:$A$285=OUTput_Monta_TrSx!H27)*(disp!$B$2:$B$274="tandem_Ecc(min)"),0),5)))</f>
        <v>#N/A</v>
      </c>
      <c r="L27" s="14" t="e">
        <f t="array" ref="L27">MIN(INDEX(disp!$A$2:$H$274,MATCH(1,(disp!$A$2:$A$285=OUTput_Monta_TrSx!H27)*(disp!$B$2:$B$274="Distr_Ecc(min)"),0),5),INDEX(disp!$A$2:$H$274,MATCH(1,(disp!$A$2:$A$285=OUTput_Monta_TrSx!H27)*(disp!$B$2:$B$274="Distr_Max(min)"),0),5))</f>
        <v>#N/A</v>
      </c>
      <c r="M27" s="25" cm="1">
        <f t="array" ref="M27">0.25*(_xlfn.XLOOKUP(H27&amp;$T$6,disp!A:A&amp;disp!B:B,disp!E:E)+_xlfn.XLOOKUP(H27&amp;$T$9,disp!A:A&amp;disp!B:B,disp!E:E))+0.25*(_xlfn.XLOOKUP(H27&amp;$T$7,disp!A:A&amp;disp!B:B,disp!E:E)+_xlfn.XLOOKUP(H27&amp;$T$8,disp!A:A&amp;disp!B:B,disp!E:E)+_xlfn.XLOOKUP(H27&amp;$T$10,disp!A:A&amp;disp!B:B,disp!E:E))</f>
        <v>0</v>
      </c>
      <c r="N27" s="25">
        <f t="shared" si="0"/>
        <v>0</v>
      </c>
      <c r="O27" s="42">
        <f t="shared" si="2"/>
        <v>0</v>
      </c>
      <c r="P27" s="6">
        <f>LOOKUP(H27,Elementi!$H:$H,Elementi!$E:$E)</f>
        <v>10</v>
      </c>
      <c r="Q27" s="2"/>
      <c r="R27" s="2"/>
      <c r="AC27" s="13"/>
      <c r="AE27" s="13"/>
    </row>
    <row r="28" spans="3:31" x14ac:dyDescent="0.25">
      <c r="C28" s="39">
        <f>_xlfn.XLOOKUP(H28,Nodi!$A:$A,Nodi!$B:$B)</f>
        <v>-162.45638500000001</v>
      </c>
      <c r="D28" s="39">
        <f t="shared" si="1"/>
        <v>192.727282</v>
      </c>
      <c r="E28" s="62"/>
      <c r="F28" s="55"/>
      <c r="G28" s="54" t="s">
        <v>45</v>
      </c>
      <c r="H28" s="45">
        <v>677</v>
      </c>
      <c r="I28" s="25" cm="1">
        <f t="array" ref="I28">_xlfn.XLOOKUP(H28&amp;$T$11,disp!A:A&amp;disp!B:B,disp!E:E)</f>
        <v>-2.7295370000000001</v>
      </c>
      <c r="J28" s="25" cm="1">
        <f t="array" ref="J28">_xlfn.XLOOKUP(H28&amp;$T$12,disp!A:A&amp;disp!B:B,disp!E:E)</f>
        <v>-0.54676000000000002</v>
      </c>
      <c r="K28" s="26" t="e" cm="1">
        <f t="array" ref="K28">(MIN(INDEX(disp!$A$2:$H$274,MATCH(1,(disp!$A$2:$A$285=OUTput_Monta_TrSx!H28)*(disp!$B$2:$B$274="Tandem_Max(min)"),0),5),INDEX(disp!$A$2:$H$274,MATCH(1,(disp!$A$2:$A$285=OUTput_Monta_TrSx!H28)*(disp!$B$2:$B$274="tandem_Ecc(min)"),0),5)))</f>
        <v>#N/A</v>
      </c>
      <c r="L28" s="14" t="e">
        <f t="array" ref="L28">MIN(INDEX(disp!$A$2:$H$274,MATCH(1,(disp!$A$2:$A$285=OUTput_Monta_TrSx!H28)*(disp!$B$2:$B$274="Distr_Ecc(min)"),0),5),INDEX(disp!$A$2:$H$274,MATCH(1,(disp!$A$2:$A$285=OUTput_Monta_TrSx!H28)*(disp!$B$2:$B$274="Distr_Max(min)"),0),5))</f>
        <v>#N/A</v>
      </c>
      <c r="M28" s="25" cm="1">
        <f t="array" ref="M28">0.25*(_xlfn.XLOOKUP(H28&amp;$T$6,disp!A:A&amp;disp!B:B,disp!E:E)+_xlfn.XLOOKUP(H28&amp;$T$9,disp!A:A&amp;disp!B:B,disp!E:E))+0.25*(_xlfn.XLOOKUP(H28&amp;$T$7,disp!A:A&amp;disp!B:B,disp!E:E)+_xlfn.XLOOKUP(H28&amp;$T$8,disp!A:A&amp;disp!B:B,disp!E:E)+_xlfn.XLOOKUP(H28&amp;$T$10,disp!A:A&amp;disp!B:B,disp!E:E))</f>
        <v>-5.9224405000000004</v>
      </c>
      <c r="N28" s="25">
        <f t="shared" si="0"/>
        <v>-9</v>
      </c>
      <c r="O28" s="42">
        <v>0</v>
      </c>
      <c r="P28" s="6">
        <f>LOOKUP(H28,Elementi!$H:$H,Elementi!$E:$E)</f>
        <v>10</v>
      </c>
      <c r="Q28" s="2"/>
      <c r="R28" s="2"/>
      <c r="AC28" s="13"/>
      <c r="AD28" s="13"/>
      <c r="AE28" s="13"/>
    </row>
    <row r="29" spans="3:31" x14ac:dyDescent="0.25">
      <c r="C29" s="39">
        <f>_xlfn.XLOOKUP(H29,Nodi!$A:$A,Nodi!$B:$B)</f>
        <v>-150.854635</v>
      </c>
      <c r="D29" s="39">
        <f t="shared" si="1"/>
        <v>204.32903200000001</v>
      </c>
      <c r="E29" s="36"/>
      <c r="F29" s="55" t="s">
        <v>46</v>
      </c>
      <c r="G29" s="54"/>
      <c r="H29" s="33">
        <v>664</v>
      </c>
      <c r="I29" s="25" cm="1">
        <f t="array" ref="I29">_xlfn.XLOOKUP(H29&amp;$T$11,disp!A:A&amp;disp!B:B,disp!E:E)</f>
        <v>-12.735097</v>
      </c>
      <c r="J29" s="25" cm="1">
        <f t="array" ref="J29">_xlfn.XLOOKUP(H29&amp;$T$12,disp!A:A&amp;disp!B:B,disp!E:E)</f>
        <v>-6.2331630000000002</v>
      </c>
      <c r="K29" s="26" t="e" cm="1">
        <f t="array" ref="K29">(MIN(INDEX(disp!$A$2:$H$274,MATCH(1,(disp!$A$2:$A$285=OUTput_Monta_TrSx!H29)*(disp!$B$2:$B$274="Tandem_Max(min)"),0),5),INDEX(disp!$A$2:$H$274,MATCH(1,(disp!$A$2:$A$285=OUTput_Monta_TrSx!H29)*(disp!$B$2:$B$274="tandem_Ecc(min)"),0),5)))</f>
        <v>#N/A</v>
      </c>
      <c r="L29" s="14" t="e">
        <f t="array" ref="L29">MIN(INDEX(disp!$A$2:$H$274,MATCH(1,(disp!$A$2:$A$285=OUTput_Monta_TrSx!H29)*(disp!$B$2:$B$274="Distr_Ecc(min)"),0),5),INDEX(disp!$A$2:$H$274,MATCH(1,(disp!$A$2:$A$285=OUTput_Monta_TrSx!H29)*(disp!$B$2:$B$274="Distr_Max(min)"),0),5))</f>
        <v>#N/A</v>
      </c>
      <c r="M29" s="25" cm="1">
        <f t="array" ref="M29">0.25*(_xlfn.XLOOKUP(H29&amp;$T$6,disp!A:A&amp;disp!B:B,disp!E:E)+_xlfn.XLOOKUP(H29&amp;$T$9,disp!A:A&amp;disp!B:B,disp!E:E))+0.25*(_xlfn.XLOOKUP(H29&amp;$T$7,disp!A:A&amp;disp!B:B,disp!E:E)+_xlfn.XLOOKUP(H29&amp;$T$8,disp!A:A&amp;disp!B:B,disp!E:E)+_xlfn.XLOOKUP(H29&amp;$T$10,disp!A:A&amp;disp!B:B,disp!E:E))</f>
        <v>-19.340120749999997</v>
      </c>
      <c r="N29" s="25">
        <f t="shared" si="0"/>
        <v>-38</v>
      </c>
      <c r="O29" s="42">
        <f t="shared" si="2"/>
        <v>40</v>
      </c>
      <c r="P29" s="6">
        <f>LOOKUP(H29,Elementi!$H:$H,Elementi!$E:$E)</f>
        <v>11</v>
      </c>
      <c r="Q29" s="2"/>
      <c r="R29" s="2"/>
      <c r="AD29" s="13"/>
      <c r="AE29" s="13"/>
    </row>
    <row r="30" spans="3:31" x14ac:dyDescent="0.25">
      <c r="C30" s="39">
        <f>_xlfn.XLOOKUP(H30,Nodi!$A:$A,Nodi!$B:$B)</f>
        <v>-139.15078199999999</v>
      </c>
      <c r="D30" s="39">
        <f t="shared" si="1"/>
        <v>216.03288500000002</v>
      </c>
      <c r="E30" s="36"/>
      <c r="F30" s="55"/>
      <c r="G30" s="54" t="s">
        <v>46</v>
      </c>
      <c r="H30" s="33">
        <v>651</v>
      </c>
      <c r="I30" s="25" cm="1">
        <f t="array" ref="I30">_xlfn.XLOOKUP(H30&amp;$T$11,disp!A:A&amp;disp!B:B,disp!E:E)</f>
        <v>-17.825517999999999</v>
      </c>
      <c r="J30" s="25" cm="1">
        <f t="array" ref="J30">_xlfn.XLOOKUP(H30&amp;$T$12,disp!A:A&amp;disp!B:B,disp!E:E)</f>
        <v>-10.906815</v>
      </c>
      <c r="K30" s="26" t="e" cm="1">
        <f t="array" ref="K30">(MIN(INDEX(disp!$A$2:$H$274,MATCH(1,(disp!$A$2:$A$285=OUTput_Monta_TrSx!H30)*(disp!$B$2:$B$274="Tandem_Max(min)"),0),5),INDEX(disp!$A$2:$H$274,MATCH(1,(disp!$A$2:$A$285=OUTput_Monta_TrSx!H30)*(disp!$B$2:$B$274="tandem_Ecc(min)"),0),5)))</f>
        <v>#N/A</v>
      </c>
      <c r="L30" s="14" t="e">
        <f t="array" ref="L30">MIN(INDEX(disp!$A$2:$H$274,MATCH(1,(disp!$A$2:$A$285=OUTput_Monta_TrSx!H30)*(disp!$B$2:$B$274="Distr_Ecc(min)"),0),5),INDEX(disp!$A$2:$H$274,MATCH(1,(disp!$A$2:$A$285=OUTput_Monta_TrSx!H30)*(disp!$B$2:$B$274="Distr_Max(min)"),0),5))</f>
        <v>#N/A</v>
      </c>
      <c r="M30" s="25" cm="1">
        <f t="array" ref="M30">0.25*(_xlfn.XLOOKUP(H30&amp;$T$6,disp!A:A&amp;disp!B:B,disp!E:E)+_xlfn.XLOOKUP(H30&amp;$T$9,disp!A:A&amp;disp!B:B,disp!E:E))+0.25*(_xlfn.XLOOKUP(H30&amp;$T$7,disp!A:A&amp;disp!B:B,disp!E:E)+_xlfn.XLOOKUP(H30&amp;$T$8,disp!A:A&amp;disp!B:B,disp!E:E)+_xlfn.XLOOKUP(H30&amp;$T$10,disp!A:A&amp;disp!B:B,disp!E:E))</f>
        <v>-25.514174000000001</v>
      </c>
      <c r="N30" s="25">
        <f t="shared" si="0"/>
        <v>-54</v>
      </c>
      <c r="O30" s="42">
        <f t="shared" si="2"/>
        <v>55</v>
      </c>
      <c r="P30" s="6">
        <f>LOOKUP(H30,Elementi!$H:$H,Elementi!$E:$E)</f>
        <v>12</v>
      </c>
      <c r="Q30" s="2"/>
      <c r="R30" s="2"/>
      <c r="AD30" s="13"/>
      <c r="AE30" s="13"/>
    </row>
    <row r="31" spans="3:31" x14ac:dyDescent="0.25">
      <c r="C31" s="39">
        <f>_xlfn.XLOOKUP(H31,Nodi!$A:$A,Nodi!$B:$B)</f>
        <v>-127.377145</v>
      </c>
      <c r="D31" s="39">
        <f t="shared" si="1"/>
        <v>227.80652200000003</v>
      </c>
      <c r="E31" s="36"/>
      <c r="F31" s="55" t="s">
        <v>47</v>
      </c>
      <c r="G31" s="54"/>
      <c r="H31" s="33">
        <v>638</v>
      </c>
      <c r="I31" s="25" cm="1">
        <f t="array" ref="I31">_xlfn.XLOOKUP(H31&amp;$T$11,disp!A:A&amp;disp!B:B,disp!E:E)</f>
        <v>-12.842718</v>
      </c>
      <c r="J31" s="25" cm="1">
        <f t="array" ref="J31">_xlfn.XLOOKUP(H31&amp;$T$12,disp!A:A&amp;disp!B:B,disp!E:E)</f>
        <v>-6.5136019999999997</v>
      </c>
      <c r="K31" s="26" t="e" cm="1">
        <f t="array" ref="K31">(MIN(INDEX(disp!$A$2:$H$274,MATCH(1,(disp!$A$2:$A$285=OUTput_Monta_TrSx!H31)*(disp!$B$2:$B$274="Tandem_Max(min)"),0),5),INDEX(disp!$A$2:$H$274,MATCH(1,(disp!$A$2:$A$285=OUTput_Monta_TrSx!H31)*(disp!$B$2:$B$274="tandem_Ecc(min)"),0),5)))</f>
        <v>#N/A</v>
      </c>
      <c r="L31" s="14" t="e">
        <f t="array" ref="L31">MIN(INDEX(disp!$A$2:$H$274,MATCH(1,(disp!$A$2:$A$285=OUTput_Monta_TrSx!H31)*(disp!$B$2:$B$274="Distr_Ecc(min)"),0),5),INDEX(disp!$A$2:$H$274,MATCH(1,(disp!$A$2:$A$285=OUTput_Monta_TrSx!H31)*(disp!$B$2:$B$274="Distr_Max(min)"),0),5))</f>
        <v>#N/A</v>
      </c>
      <c r="M31" s="25" cm="1">
        <f t="array" ref="M31">0.25*(_xlfn.XLOOKUP(H31&amp;$T$6,disp!A:A&amp;disp!B:B,disp!E:E)+_xlfn.XLOOKUP(H31&amp;$T$9,disp!A:A&amp;disp!B:B,disp!E:E))+0.25*(_xlfn.XLOOKUP(H31&amp;$T$7,disp!A:A&amp;disp!B:B,disp!E:E)+_xlfn.XLOOKUP(H31&amp;$T$8,disp!A:A&amp;disp!B:B,disp!E:E)+_xlfn.XLOOKUP(H31&amp;$T$10,disp!A:A&amp;disp!B:B,disp!E:E))</f>
        <v>-18.97680025</v>
      </c>
      <c r="N31" s="25">
        <f t="shared" si="0"/>
        <v>-38</v>
      </c>
      <c r="O31" s="42">
        <f t="shared" si="2"/>
        <v>40</v>
      </c>
      <c r="P31" s="6">
        <f>LOOKUP(H31,Elementi!$H:$H,Elementi!$E:$E)</f>
        <v>12</v>
      </c>
      <c r="Q31" s="2"/>
      <c r="R31" s="2"/>
      <c r="AD31" s="13"/>
      <c r="AE31" s="13"/>
    </row>
    <row r="32" spans="3:31" x14ac:dyDescent="0.25">
      <c r="C32" s="39">
        <f>_xlfn.XLOOKUP(H32,Nodi!$A:$A,Nodi!$B:$B)</f>
        <v>-115.520161</v>
      </c>
      <c r="D32" s="39">
        <f t="shared" si="1"/>
        <v>239.66350600000001</v>
      </c>
      <c r="E32" s="56" t="s">
        <v>52</v>
      </c>
      <c r="F32" s="55"/>
      <c r="G32" s="54" t="s">
        <v>48</v>
      </c>
      <c r="H32" s="45">
        <v>625</v>
      </c>
      <c r="I32" s="25" cm="1">
        <f t="array" ref="I32">_xlfn.XLOOKUP(H32&amp;$T$11,disp!A:A&amp;disp!B:B,disp!E:E)</f>
        <v>-2.6639889999999999</v>
      </c>
      <c r="J32" s="25" cm="1">
        <f t="array" ref="J32">_xlfn.XLOOKUP(H32&amp;$T$12,disp!A:A&amp;disp!B:B,disp!E:E)</f>
        <v>-0.77457399999999998</v>
      </c>
      <c r="K32" s="26" t="e" cm="1">
        <f t="array" ref="K32">(MIN(INDEX(disp!$A$2:$H$274,MATCH(1,(disp!$A$2:$A$285=OUTput_Monta_TrSx!H32)*(disp!$B$2:$B$274="Tandem_Max(min)"),0),5),INDEX(disp!$A$2:$H$274,MATCH(1,(disp!$A$2:$A$285=OUTput_Monta_TrSx!H32)*(disp!$B$2:$B$274="tandem_Ecc(min)"),0),5)))</f>
        <v>#N/A</v>
      </c>
      <c r="L32" s="14" t="e">
        <f t="array" ref="L32">MIN(INDEX(disp!$A$2:$H$274,MATCH(1,(disp!$A$2:$A$285=OUTput_Monta_TrSx!H32)*(disp!$B$2:$B$274="Distr_Ecc(min)"),0),5),INDEX(disp!$A$2:$H$274,MATCH(1,(disp!$A$2:$A$285=OUTput_Monta_TrSx!H32)*(disp!$B$2:$B$274="Distr_Max(min)"),0),5))</f>
        <v>#N/A</v>
      </c>
      <c r="M32" s="25" cm="1">
        <f t="array" ref="M32">0.25*(_xlfn.XLOOKUP(H32&amp;$T$6,disp!A:A&amp;disp!B:B,disp!E:E)+_xlfn.XLOOKUP(H32&amp;$T$9,disp!A:A&amp;disp!B:B,disp!E:E))+0.25*(_xlfn.XLOOKUP(H32&amp;$T$7,disp!A:A&amp;disp!B:B,disp!E:E)+_xlfn.XLOOKUP(H32&amp;$T$8,disp!A:A&amp;disp!B:B,disp!E:E)+_xlfn.XLOOKUP(H32&amp;$T$10,disp!A:A&amp;disp!B:B,disp!E:E))</f>
        <v>-5.6698182499999996</v>
      </c>
      <c r="N32" s="25">
        <f t="shared" si="0"/>
        <v>-9</v>
      </c>
      <c r="O32" s="42">
        <v>0</v>
      </c>
      <c r="P32" s="6">
        <f>LOOKUP(H32,Elementi!$H:$H,Elementi!$E:$E)</f>
        <v>15</v>
      </c>
      <c r="Q32" s="2"/>
      <c r="R32" s="2"/>
      <c r="AC32" s="13"/>
      <c r="AD32" s="13"/>
      <c r="AE32" s="13"/>
    </row>
    <row r="33" spans="3:31" x14ac:dyDescent="0.25">
      <c r="C33" s="39">
        <f>_xlfn.XLOOKUP(H33,Nodi!$A:$A,Nodi!$B:$B)</f>
        <v>-109.547359</v>
      </c>
      <c r="D33" s="39">
        <f t="shared" si="1"/>
        <v>245.63630800000001</v>
      </c>
      <c r="E33" s="56"/>
      <c r="F33" s="31"/>
      <c r="G33" s="54"/>
      <c r="H33" s="45">
        <v>619</v>
      </c>
      <c r="I33" s="25" cm="1">
        <f t="array" ref="I33">_xlfn.XLOOKUP(H33&amp;$T$11,disp!A:A&amp;disp!B:B,disp!E:E)</f>
        <v>0</v>
      </c>
      <c r="J33" s="25" cm="1">
        <f t="array" ref="J33">_xlfn.XLOOKUP(H33&amp;$T$12,disp!A:A&amp;disp!B:B,disp!E:E)</f>
        <v>0</v>
      </c>
      <c r="K33" s="26" t="e" cm="1">
        <f t="array" ref="K33">(MIN(INDEX(disp!$A$2:$H$274,MATCH(1,(disp!$A$2:$A$285=OUTput_Monta_TrSx!H33)*(disp!$B$2:$B$274="Tandem_Max(min)"),0),5),INDEX(disp!$A$2:$H$274,MATCH(1,(disp!$A$2:$A$285=OUTput_Monta_TrSx!H33)*(disp!$B$2:$B$274="tandem_Ecc(min)"),0),5)))</f>
        <v>#N/A</v>
      </c>
      <c r="L33" s="14" t="e">
        <f t="array" ref="L33">MIN(INDEX(disp!$A$2:$H$274,MATCH(1,(disp!$A$2:$A$285=OUTput_Monta_TrSx!H33)*(disp!$B$2:$B$274="Distr_Ecc(min)"),0),5),INDEX(disp!$A$2:$H$274,MATCH(1,(disp!$A$2:$A$285=OUTput_Monta_TrSx!H33)*(disp!$B$2:$B$274="Distr_Max(min)"),0),5))</f>
        <v>#N/A</v>
      </c>
      <c r="M33" s="25" cm="1">
        <f t="array" ref="M33">0.25*(_xlfn.XLOOKUP(H33&amp;$T$6,disp!A:A&amp;disp!B:B,disp!E:E)+_xlfn.XLOOKUP(H33&amp;$T$9,disp!A:A&amp;disp!B:B,disp!E:E))+0.25*(_xlfn.XLOOKUP(H33&amp;$T$7,disp!A:A&amp;disp!B:B,disp!E:E)+_xlfn.XLOOKUP(H33&amp;$T$8,disp!A:A&amp;disp!B:B,disp!E:E)+_xlfn.XLOOKUP(H33&amp;$T$10,disp!A:A&amp;disp!B:B,disp!E:E))</f>
        <v>0</v>
      </c>
      <c r="N33" s="25">
        <f t="shared" si="0"/>
        <v>0</v>
      </c>
      <c r="O33" s="42">
        <f t="shared" si="2"/>
        <v>0</v>
      </c>
      <c r="P33" s="6">
        <f>LOOKUP(H33,Elementi!$H:$H,Elementi!$E:$E)</f>
        <v>14</v>
      </c>
      <c r="Q33" s="2"/>
      <c r="R33" s="2"/>
      <c r="AC33" s="13"/>
      <c r="AD33" s="13"/>
    </row>
    <row r="34" spans="3:31" x14ac:dyDescent="0.25">
      <c r="C34" s="39">
        <f>_xlfn.XLOOKUP(H34,Nodi!$A:$A,Nodi!$B:$B)</f>
        <v>-103.577275</v>
      </c>
      <c r="D34" s="39">
        <f t="shared" si="1"/>
        <v>251.60639200000003</v>
      </c>
      <c r="E34" s="56"/>
      <c r="F34" s="55" t="s">
        <v>49</v>
      </c>
      <c r="G34" s="54"/>
      <c r="H34" s="45">
        <v>612</v>
      </c>
      <c r="I34" s="25" cm="1">
        <f t="array" ref="I34">_xlfn.XLOOKUP(H34&amp;$T$11,disp!A:A&amp;disp!B:B,disp!E:E)</f>
        <v>-2.6710310000000002</v>
      </c>
      <c r="J34" s="25" cm="1">
        <f t="array" ref="J34">_xlfn.XLOOKUP(H34&amp;$T$12,disp!A:A&amp;disp!B:B,disp!E:E)</f>
        <v>1.3093E-2</v>
      </c>
      <c r="K34" s="26" t="e" cm="1">
        <f t="array" ref="K34">(MIN(INDEX(disp!$A$2:$H$274,MATCH(1,(disp!$A$2:$A$285=OUTput_Monta_TrSx!H34)*(disp!$B$2:$B$274="Tandem_Max(min)"),0),5),INDEX(disp!$A$2:$H$274,MATCH(1,(disp!$A$2:$A$285=OUTput_Monta_TrSx!H34)*(disp!$B$2:$B$274="tandem_Ecc(min)"),0),5)))</f>
        <v>#N/A</v>
      </c>
      <c r="L34" s="14" t="e">
        <f t="array" ref="L34">MIN(INDEX(disp!$A$2:$H$274,MATCH(1,(disp!$A$2:$A$285=OUTput_Monta_TrSx!H34)*(disp!$B$2:$B$274="Distr_Ecc(min)"),0),5),INDEX(disp!$A$2:$H$274,MATCH(1,(disp!$A$2:$A$285=OUTput_Monta_TrSx!H34)*(disp!$B$2:$B$274="Distr_Max(min)"),0),5))</f>
        <v>#N/A</v>
      </c>
      <c r="M34" s="25" cm="1">
        <f t="array" ref="M34">0.25*(_xlfn.XLOOKUP(H34&amp;$T$6,disp!A:A&amp;disp!B:B,disp!E:E)+_xlfn.XLOOKUP(H34&amp;$T$9,disp!A:A&amp;disp!B:B,disp!E:E))+0.25*(_xlfn.XLOOKUP(H34&amp;$T$7,disp!A:A&amp;disp!B:B,disp!E:E)+_xlfn.XLOOKUP(H34&amp;$T$8,disp!A:A&amp;disp!B:B,disp!E:E)+_xlfn.XLOOKUP(H34&amp;$T$10,disp!A:A&amp;disp!B:B,disp!E:E))</f>
        <v>-5.2170462500000001</v>
      </c>
      <c r="N34" s="25">
        <f t="shared" si="0"/>
        <v>-8</v>
      </c>
      <c r="O34" s="42">
        <v>0</v>
      </c>
      <c r="P34" s="6">
        <f>LOOKUP(H34,Elementi!$H:$H,Elementi!$E:$E)</f>
        <v>14</v>
      </c>
      <c r="Q34" s="2"/>
      <c r="R34" s="2"/>
      <c r="AC34" s="13"/>
      <c r="AD34" s="13"/>
      <c r="AE34" s="13"/>
    </row>
    <row r="35" spans="3:31" x14ac:dyDescent="0.25">
      <c r="C35" s="39">
        <f>_xlfn.XLOOKUP(H35,Nodi!$A:$A,Nodi!$B:$B)</f>
        <v>-91.557924</v>
      </c>
      <c r="D35" s="39">
        <f t="shared" si="1"/>
        <v>263.625743</v>
      </c>
      <c r="E35" s="36"/>
      <c r="F35" s="55"/>
      <c r="G35" s="54" t="s">
        <v>41</v>
      </c>
      <c r="H35" s="33">
        <v>599</v>
      </c>
      <c r="I35" s="25" cm="1">
        <f t="array" ref="I35">_xlfn.XLOOKUP(H35&amp;$T$11,disp!A:A&amp;disp!B:B,disp!E:E)</f>
        <v>-13.054099000000001</v>
      </c>
      <c r="J35" s="25" cm="1">
        <f t="array" ref="J35">_xlfn.XLOOKUP(H35&amp;$T$12,disp!A:A&amp;disp!B:B,disp!E:E)</f>
        <v>-4.3763550000000002</v>
      </c>
      <c r="K35" s="26" t="e" cm="1">
        <f t="array" ref="K35">(MIN(INDEX(disp!$A$2:$H$274,MATCH(1,(disp!$A$2:$A$285=OUTput_Monta_TrSx!H35)*(disp!$B$2:$B$274="Tandem_Max(min)"),0),5),INDEX(disp!$A$2:$H$274,MATCH(1,(disp!$A$2:$A$285=OUTput_Monta_TrSx!H35)*(disp!$B$2:$B$274="tandem_Ecc(min)"),0),5)))</f>
        <v>#N/A</v>
      </c>
      <c r="L35" s="14" t="e">
        <f t="array" ref="L35">MIN(INDEX(disp!$A$2:$H$274,MATCH(1,(disp!$A$2:$A$285=OUTput_Monta_TrSx!H35)*(disp!$B$2:$B$274="Distr_Ecc(min)"),0),5),INDEX(disp!$A$2:$H$274,MATCH(1,(disp!$A$2:$A$285=OUTput_Monta_TrSx!H35)*(disp!$B$2:$B$274="Distr_Max(min)"),0),5))</f>
        <v>#N/A</v>
      </c>
      <c r="M35" s="25" cm="1">
        <f t="array" ref="M35">0.25*(_xlfn.XLOOKUP(H35&amp;$T$6,disp!A:A&amp;disp!B:B,disp!E:E)+_xlfn.XLOOKUP(H35&amp;$T$9,disp!A:A&amp;disp!B:B,disp!E:E))+0.25*(_xlfn.XLOOKUP(H35&amp;$T$7,disp!A:A&amp;disp!B:B,disp!E:E)+_xlfn.XLOOKUP(H35&amp;$T$8,disp!A:A&amp;disp!B:B,disp!E:E)+_xlfn.XLOOKUP(H35&amp;$T$10,disp!A:A&amp;disp!B:B,disp!E:E))</f>
        <v>-17.62402075</v>
      </c>
      <c r="N35" s="25">
        <f t="shared" si="0"/>
        <v>-35</v>
      </c>
      <c r="O35" s="42">
        <f t="shared" si="2"/>
        <v>35</v>
      </c>
      <c r="P35" s="6">
        <f>LOOKUP(H35,Elementi!$H:$H,Elementi!$E:$E)</f>
        <v>13</v>
      </c>
      <c r="Q35" s="2"/>
      <c r="R35" s="2"/>
      <c r="S35" s="2"/>
      <c r="T35" s="2"/>
      <c r="U35" s="2"/>
      <c r="V35" s="2"/>
      <c r="AD35" s="13"/>
      <c r="AE35" s="13"/>
    </row>
    <row r="36" spans="3:31" x14ac:dyDescent="0.25">
      <c r="C36" s="39">
        <f>_xlfn.XLOOKUP(H36,Nodi!$A:$A,Nodi!$B:$B)</f>
        <v>-79.522560999999996</v>
      </c>
      <c r="D36" s="39">
        <f t="shared" si="1"/>
        <v>275.66110600000002</v>
      </c>
      <c r="E36" s="36"/>
      <c r="F36" s="55" t="s">
        <v>40</v>
      </c>
      <c r="G36" s="54"/>
      <c r="H36" s="33">
        <v>586</v>
      </c>
      <c r="I36" s="25" cm="1">
        <f t="array" ref="I36">_xlfn.XLOOKUP(H36&amp;$T$11,disp!A:A&amp;disp!B:B,disp!E:E)</f>
        <v>-18.225463999999999</v>
      </c>
      <c r="J36" s="25" cm="1">
        <f t="array" ref="J36">_xlfn.XLOOKUP(H36&amp;$T$12,disp!A:A&amp;disp!B:B,disp!E:E)</f>
        <v>-7.9759760000000002</v>
      </c>
      <c r="K36" s="26" t="e" cm="1">
        <f t="array" ref="K36">(MIN(INDEX(disp!$A$2:$H$274,MATCH(1,(disp!$A$2:$A$285=OUTput_Monta_TrSx!H36)*(disp!$B$2:$B$274="Tandem_Max(min)"),0),5),INDEX(disp!$A$2:$H$274,MATCH(1,(disp!$A$2:$A$285=OUTput_Monta_TrSx!H36)*(disp!$B$2:$B$274="tandem_Ecc(min)"),0),5)))</f>
        <v>#N/A</v>
      </c>
      <c r="L36" s="14" t="e">
        <f t="array" ref="L36">MIN(INDEX(disp!$A$2:$H$274,MATCH(1,(disp!$A$2:$A$285=OUTput_Monta_TrSx!H36)*(disp!$B$2:$B$274="Distr_Ecc(min)"),0),5),INDEX(disp!$A$2:$H$274,MATCH(1,(disp!$A$2:$A$285=OUTput_Monta_TrSx!H36)*(disp!$B$2:$B$274="Distr_Max(min)"),0),5))</f>
        <v>#N/A</v>
      </c>
      <c r="M36" s="25" cm="1">
        <f t="array" ref="M36">0.25*(_xlfn.XLOOKUP(H36&amp;$T$6,disp!A:A&amp;disp!B:B,disp!E:E)+_xlfn.XLOOKUP(H36&amp;$T$9,disp!A:A&amp;disp!B:B,disp!E:E))+0.25*(_xlfn.XLOOKUP(H36&amp;$T$7,disp!A:A&amp;disp!B:B,disp!E:E)+_xlfn.XLOOKUP(H36&amp;$T$8,disp!A:A&amp;disp!B:B,disp!E:E)+_xlfn.XLOOKUP(H36&amp;$T$10,disp!A:A&amp;disp!B:B,disp!E:E))</f>
        <v>-23.397596</v>
      </c>
      <c r="N36" s="25">
        <f t="shared" si="0"/>
        <v>-50</v>
      </c>
      <c r="O36" s="42">
        <f t="shared" si="2"/>
        <v>50</v>
      </c>
      <c r="P36" s="6">
        <f>LOOKUP(H36,Elementi!$H:$H,Elementi!$E:$E)</f>
        <v>8</v>
      </c>
      <c r="Q36" s="2"/>
      <c r="R36" s="2"/>
      <c r="AD36" s="13"/>
      <c r="AE36" s="13"/>
    </row>
    <row r="37" spans="3:31" x14ac:dyDescent="0.25">
      <c r="C37" s="39">
        <f>_xlfn.XLOOKUP(H37,Nodi!$A:$A,Nodi!$B:$B)</f>
        <v>-67.442262999999997</v>
      </c>
      <c r="D37" s="39">
        <f t="shared" si="1"/>
        <v>287.74140399999999</v>
      </c>
      <c r="E37" s="36"/>
      <c r="F37" s="55"/>
      <c r="G37" s="54" t="s">
        <v>39</v>
      </c>
      <c r="H37" s="33">
        <v>573</v>
      </c>
      <c r="I37" s="25" cm="1">
        <f t="array" ref="I37">_xlfn.XLOOKUP(H37&amp;$T$11,disp!A:A&amp;disp!B:B,disp!E:E)</f>
        <v>-13.32161</v>
      </c>
      <c r="J37" s="25" cm="1">
        <f t="array" ref="J37">_xlfn.XLOOKUP(H37&amp;$T$12,disp!A:A&amp;disp!B:B,disp!E:E)</f>
        <v>-3.3058369999999999</v>
      </c>
      <c r="K37" s="26" t="e" cm="1">
        <f t="array" ref="K37">(MIN(INDEX(disp!$A$2:$H$274,MATCH(1,(disp!$A$2:$A$285=OUTput_Monta_TrSx!H37)*(disp!$B$2:$B$274="Tandem_Max(min)"),0),5),INDEX(disp!$A$2:$H$274,MATCH(1,(disp!$A$2:$A$285=OUTput_Monta_TrSx!H37)*(disp!$B$2:$B$274="tandem_Ecc(min)"),0),5)))</f>
        <v>#N/A</v>
      </c>
      <c r="L37" s="14" t="e">
        <f t="array" ref="L37">MIN(INDEX(disp!$A$2:$H$274,MATCH(1,(disp!$A$2:$A$285=OUTput_Monta_TrSx!H37)*(disp!$B$2:$B$274="Distr_Ecc(min)"),0),5),INDEX(disp!$A$2:$H$274,MATCH(1,(disp!$A$2:$A$285=OUTput_Monta_TrSx!H37)*(disp!$B$2:$B$274="Distr_Max(min)"),0),5))</f>
        <v>#N/A</v>
      </c>
      <c r="M37" s="25" cm="1">
        <f t="array" ref="M37">0.25*(_xlfn.XLOOKUP(H37&amp;$T$6,disp!A:A&amp;disp!B:B,disp!E:E)+_xlfn.XLOOKUP(H37&amp;$T$9,disp!A:A&amp;disp!B:B,disp!E:E))+0.25*(_xlfn.XLOOKUP(H37&amp;$T$7,disp!A:A&amp;disp!B:B,disp!E:E)+_xlfn.XLOOKUP(H37&amp;$T$8,disp!A:A&amp;disp!B:B,disp!E:E)+_xlfn.XLOOKUP(H37&amp;$T$10,disp!A:A&amp;disp!B:B,disp!E:E))</f>
        <v>-17.27502475</v>
      </c>
      <c r="N37" s="25">
        <f t="shared" si="0"/>
        <v>-34</v>
      </c>
      <c r="O37" s="42">
        <f t="shared" si="2"/>
        <v>35</v>
      </c>
      <c r="P37" s="6">
        <f>LOOKUP(H37,Elementi!$H:$H,Elementi!$E:$E)</f>
        <v>7</v>
      </c>
      <c r="Q37" s="2"/>
      <c r="R37" s="2"/>
      <c r="AD37" s="13"/>
      <c r="AE37" s="13"/>
    </row>
    <row r="38" spans="3:31" x14ac:dyDescent="0.25">
      <c r="C38" s="39">
        <f>_xlfn.XLOOKUP(H38,Nodi!$A:$A,Nodi!$B:$B)</f>
        <v>-55.357368000000001</v>
      </c>
      <c r="D38" s="39">
        <f t="shared" si="1"/>
        <v>299.82629900000001</v>
      </c>
      <c r="E38" s="56" t="s">
        <v>53</v>
      </c>
      <c r="F38" s="55" t="s">
        <v>37</v>
      </c>
      <c r="G38" s="54"/>
      <c r="H38" s="45">
        <v>560</v>
      </c>
      <c r="I38" s="25" cm="1">
        <f t="array" ref="I38">_xlfn.XLOOKUP(H38&amp;$T$11,disp!A:A&amp;disp!B:B,disp!E:E)</f>
        <v>-3.1536590000000002</v>
      </c>
      <c r="J38" s="25" cm="1">
        <f t="array" ref="J38">_xlfn.XLOOKUP(H38&amp;$T$12,disp!A:A&amp;disp!B:B,disp!E:E)</f>
        <v>0.88067200000000001</v>
      </c>
      <c r="K38" s="26" t="e" cm="1">
        <f t="array" ref="K38">(MIN(INDEX(disp!$A$2:$H$274,MATCH(1,(disp!$A$2:$A$285=OUTput_Monta_TrSx!H38)*(disp!$B$2:$B$274="Tandem_Max(min)"),0),5),INDEX(disp!$A$2:$H$274,MATCH(1,(disp!$A$2:$A$285=OUTput_Monta_TrSx!H38)*(disp!$B$2:$B$274="tandem_Ecc(min)"),0),5)))</f>
        <v>#N/A</v>
      </c>
      <c r="L38" s="14" t="e">
        <f t="array" ref="L38">MIN(INDEX(disp!$A$2:$H$274,MATCH(1,(disp!$A$2:$A$285=OUTput_Monta_TrSx!H38)*(disp!$B$2:$B$274="Distr_Ecc(min)"),0),5),INDEX(disp!$A$2:$H$274,MATCH(1,(disp!$A$2:$A$285=OUTput_Monta_TrSx!H38)*(disp!$B$2:$B$274="Distr_Max(min)"),0),5))</f>
        <v>#N/A</v>
      </c>
      <c r="M38" s="25" cm="1">
        <f t="array" ref="M38">0.25*(_xlfn.XLOOKUP(H38&amp;$T$6,disp!A:A&amp;disp!B:B,disp!E:E)+_xlfn.XLOOKUP(H38&amp;$T$9,disp!A:A&amp;disp!B:B,disp!E:E))+0.25*(_xlfn.XLOOKUP(H38&amp;$T$7,disp!A:A&amp;disp!B:B,disp!E:E)+_xlfn.XLOOKUP(H38&amp;$T$8,disp!A:A&amp;disp!B:B,disp!E:E)+_xlfn.XLOOKUP(H38&amp;$T$10,disp!A:A&amp;disp!B:B,disp!E:E))</f>
        <v>-5.0129552500000001</v>
      </c>
      <c r="N38" s="25">
        <f t="shared" si="0"/>
        <v>-7</v>
      </c>
      <c r="O38" s="42">
        <v>0</v>
      </c>
      <c r="P38" s="6">
        <f>LOOKUP(H38,Elementi!$H:$H,Elementi!$E:$E)</f>
        <v>6</v>
      </c>
      <c r="Q38" s="2"/>
      <c r="R38" s="2"/>
      <c r="AC38" s="13"/>
      <c r="AD38" s="13"/>
      <c r="AE38" s="13"/>
    </row>
    <row r="39" spans="3:31" x14ac:dyDescent="0.25">
      <c r="C39" s="39">
        <f>_xlfn.XLOOKUP(H39,Nodi!$A:$A,Nodi!$B:$B)</f>
        <v>-49.310060999999997</v>
      </c>
      <c r="D39" s="39">
        <f t="shared" si="1"/>
        <v>305.873606</v>
      </c>
      <c r="E39" s="56"/>
      <c r="F39" s="55"/>
      <c r="G39" s="12"/>
      <c r="H39" s="45">
        <v>554</v>
      </c>
      <c r="I39" s="25" cm="1">
        <f t="array" ref="I39">_xlfn.XLOOKUP(H39&amp;$T$11,disp!A:A&amp;disp!B:B,disp!E:E)</f>
        <v>0</v>
      </c>
      <c r="J39" s="25" cm="1">
        <f t="array" ref="J39">_xlfn.XLOOKUP(H39&amp;$T$12,disp!A:A&amp;disp!B:B,disp!E:E)</f>
        <v>0</v>
      </c>
      <c r="K39" s="26" t="e" cm="1">
        <f t="array" ref="K39">(MIN(INDEX(disp!$A$2:$H$274,MATCH(1,(disp!$A$2:$A$285=OUTput_Monta_TrSx!H39)*(disp!$B$2:$B$274="Tandem_Max(min)"),0),5),INDEX(disp!$A$2:$H$274,MATCH(1,(disp!$A$2:$A$285=OUTput_Monta_TrSx!H39)*(disp!$B$2:$B$274="tandem_Ecc(min)"),0),5)))</f>
        <v>#N/A</v>
      </c>
      <c r="L39" s="14" t="e">
        <f t="array" ref="L39">MIN(INDEX(disp!$A$2:$H$274,MATCH(1,(disp!$A$2:$A$285=OUTput_Monta_TrSx!H39)*(disp!$B$2:$B$274="Distr_Ecc(min)"),0),5),INDEX(disp!$A$2:$H$274,MATCH(1,(disp!$A$2:$A$285=OUTput_Monta_TrSx!H39)*(disp!$B$2:$B$274="Distr_Max(min)"),0),5))</f>
        <v>#N/A</v>
      </c>
      <c r="M39" s="25" cm="1">
        <f t="array" ref="M39">0.25*(_xlfn.XLOOKUP(H39&amp;$T$6,disp!A:A&amp;disp!B:B,disp!E:E)+_xlfn.XLOOKUP(H39&amp;$T$9,disp!A:A&amp;disp!B:B,disp!E:E))+0.25*(_xlfn.XLOOKUP(H39&amp;$T$7,disp!A:A&amp;disp!B:B,disp!E:E)+_xlfn.XLOOKUP(H39&amp;$T$8,disp!A:A&amp;disp!B:B,disp!E:E)+_xlfn.XLOOKUP(H39&amp;$T$10,disp!A:A&amp;disp!B:B,disp!E:E))</f>
        <v>0</v>
      </c>
      <c r="N39" s="25">
        <f t="shared" si="0"/>
        <v>0</v>
      </c>
      <c r="O39" s="42">
        <f t="shared" si="2"/>
        <v>0</v>
      </c>
      <c r="P39" s="6">
        <f>LOOKUP(H39,Elementi!$H:$H,Elementi!$E:$E)</f>
        <v>5</v>
      </c>
      <c r="Q39" s="2"/>
      <c r="R39" s="2"/>
      <c r="AC39" s="13"/>
      <c r="AE39" s="13"/>
    </row>
    <row r="40" spans="3:31" x14ac:dyDescent="0.25">
      <c r="C40" s="39">
        <f>_xlfn.XLOOKUP(H40,Nodi!$A:$A,Nodi!$B:$B)</f>
        <v>-43.254976999999997</v>
      </c>
      <c r="D40" s="39">
        <f t="shared" si="1"/>
        <v>311.92869000000002</v>
      </c>
      <c r="E40" s="56"/>
      <c r="F40" s="55"/>
      <c r="G40" s="54" t="s">
        <v>33</v>
      </c>
      <c r="H40" s="45">
        <v>547</v>
      </c>
      <c r="I40" s="25" cm="1">
        <f t="array" ref="I40">_xlfn.XLOOKUP(H40&amp;$T$11,disp!A:A&amp;disp!B:B,disp!E:E)</f>
        <v>-1.199579</v>
      </c>
      <c r="J40" s="25" cm="1">
        <f t="array" ref="J40">_xlfn.XLOOKUP(H40&amp;$T$12,disp!A:A&amp;disp!B:B,disp!E:E)</f>
        <v>-2.1233230000000001</v>
      </c>
      <c r="K40" s="26" t="e" cm="1">
        <f t="array" ref="K40">(MIN(INDEX(disp!$A$2:$H$274,MATCH(1,(disp!$A$2:$A$285=OUTput_Monta_TrSx!H40)*(disp!$B$2:$B$274="Tandem_Max(min)"),0),5),INDEX(disp!$A$2:$H$274,MATCH(1,(disp!$A$2:$A$285=OUTput_Monta_TrSx!H40)*(disp!$B$2:$B$274="tandem_Ecc(min)"),0),5)))</f>
        <v>#N/A</v>
      </c>
      <c r="L40" s="14" t="e">
        <f t="array" ref="L40">MIN(INDEX(disp!$A$2:$H$274,MATCH(1,(disp!$A$2:$A$285=OUTput_Monta_TrSx!H40)*(disp!$B$2:$B$274="Distr_Ecc(min)"),0),5),INDEX(disp!$A$2:$H$274,MATCH(1,(disp!$A$2:$A$285=OUTput_Monta_TrSx!H40)*(disp!$B$2:$B$274="Distr_Max(min)"),0),5))</f>
        <v>#N/A</v>
      </c>
      <c r="M40" s="25" cm="1">
        <f t="array" ref="M40">0.25*(_xlfn.XLOOKUP(H40&amp;$T$6,disp!A:A&amp;disp!B:B,disp!E:E)+_xlfn.XLOOKUP(H40&amp;$T$9,disp!A:A&amp;disp!B:B,disp!E:E))+0.25*(_xlfn.XLOOKUP(H40&amp;$T$7,disp!A:A&amp;disp!B:B,disp!E:E)+_xlfn.XLOOKUP(H40&amp;$T$8,disp!A:A&amp;disp!B:B,disp!E:E)+_xlfn.XLOOKUP(H40&amp;$T$10,disp!A:A&amp;disp!B:B,disp!E:E))</f>
        <v>-4.6178642500000002</v>
      </c>
      <c r="N40" s="25">
        <f t="shared" si="0"/>
        <v>-8</v>
      </c>
      <c r="O40" s="42">
        <v>0</v>
      </c>
      <c r="P40" s="6">
        <f>LOOKUP(H40,Elementi!$H:$H,Elementi!$E:$E)</f>
        <v>5</v>
      </c>
      <c r="Q40" s="2"/>
      <c r="R40" s="2"/>
      <c r="AC40" s="13"/>
      <c r="AD40" s="13"/>
      <c r="AE40" s="13"/>
    </row>
    <row r="41" spans="3:31" x14ac:dyDescent="0.25">
      <c r="C41" s="39">
        <f>_xlfn.XLOOKUP(H41,Nodi!$A:$A,Nodi!$B:$B)</f>
        <v>-32.180948000000001</v>
      </c>
      <c r="D41" s="39">
        <f t="shared" si="1"/>
        <v>323.00271900000001</v>
      </c>
      <c r="E41" s="36"/>
      <c r="F41" s="55" t="s">
        <v>36</v>
      </c>
      <c r="G41" s="54"/>
      <c r="H41" s="33">
        <v>535</v>
      </c>
      <c r="I41" s="25" cm="1">
        <f t="array" ref="I41">_xlfn.XLOOKUP(H41&amp;$T$11,disp!A:A&amp;disp!B:B,disp!E:E)</f>
        <v>-7.6325250000000002</v>
      </c>
      <c r="J41" s="25" cm="1">
        <f t="array" ref="J41">_xlfn.XLOOKUP(H41&amp;$T$12,disp!A:A&amp;disp!B:B,disp!E:E)</f>
        <v>-10.166226999999999</v>
      </c>
      <c r="K41" s="26" t="e" cm="1">
        <f t="array" ref="K41">(MIN(INDEX(disp!$A$2:$H$274,MATCH(1,(disp!$A$2:$A$285=OUTput_Monta_TrSx!H41)*(disp!$B$2:$B$274="Tandem_Max(min)"),0),5),INDEX(disp!$A$2:$H$274,MATCH(1,(disp!$A$2:$A$285=OUTput_Monta_TrSx!H41)*(disp!$B$2:$B$274="tandem_Ecc(min)"),0),5)))</f>
        <v>#N/A</v>
      </c>
      <c r="L41" s="14" t="e">
        <f t="array" ref="L41">MIN(INDEX(disp!$A$2:$H$274,MATCH(1,(disp!$A$2:$A$285=OUTput_Monta_TrSx!H41)*(disp!$B$2:$B$274="Distr_Ecc(min)"),0),5),INDEX(disp!$A$2:$H$274,MATCH(1,(disp!$A$2:$A$285=OUTput_Monta_TrSx!H41)*(disp!$B$2:$B$274="Distr_Max(min)"),0),5))</f>
        <v>#N/A</v>
      </c>
      <c r="M41" s="25" cm="1">
        <f t="array" ref="M41">0.25*(_xlfn.XLOOKUP(H41&amp;$T$6,disp!A:A&amp;disp!B:B,disp!E:E)+_xlfn.XLOOKUP(H41&amp;$T$9,disp!A:A&amp;disp!B:B,disp!E:E))+0.25*(_xlfn.XLOOKUP(H41&amp;$T$7,disp!A:A&amp;disp!B:B,disp!E:E)+_xlfn.XLOOKUP(H41&amp;$T$8,disp!A:A&amp;disp!B:B,disp!E:E)+_xlfn.XLOOKUP(H41&amp;$T$10,disp!A:A&amp;disp!B:B,disp!E:E))</f>
        <v>-13.7116825</v>
      </c>
      <c r="N41" s="25">
        <f t="shared" si="0"/>
        <v>-32</v>
      </c>
      <c r="O41" s="42">
        <f t="shared" si="2"/>
        <v>35</v>
      </c>
      <c r="P41" s="6">
        <f>LOOKUP(H41,Elementi!$H:$H,Elementi!$E:$E)</f>
        <v>4</v>
      </c>
      <c r="Q41" s="2"/>
      <c r="R41" s="2"/>
      <c r="AD41" s="13"/>
      <c r="AE41" s="13"/>
    </row>
    <row r="42" spans="3:31" x14ac:dyDescent="0.25">
      <c r="C42" s="39">
        <f>_xlfn.XLOOKUP(H42,Nodi!$A:$A,Nodi!$B:$B)</f>
        <v>-22.050153000000002</v>
      </c>
      <c r="D42" s="39">
        <f t="shared" si="1"/>
        <v>333.13351399999999</v>
      </c>
      <c r="E42" s="36"/>
      <c r="F42" s="55"/>
      <c r="G42" s="54" t="s">
        <v>34</v>
      </c>
      <c r="H42" s="33">
        <v>524</v>
      </c>
      <c r="I42" s="25" cm="1">
        <f t="array" ref="I42">_xlfn.XLOOKUP(H42&amp;$T$11,disp!A:A&amp;disp!B:B,disp!E:E)</f>
        <v>-11.546668</v>
      </c>
      <c r="J42" s="25" cm="1">
        <f t="array" ref="J42">_xlfn.XLOOKUP(H42&amp;$T$12,disp!A:A&amp;disp!B:B,disp!E:E)</f>
        <v>-16.366</v>
      </c>
      <c r="K42" s="26" t="e" cm="1">
        <f t="array" ref="K42">(MIN(INDEX(disp!$A$2:$H$274,MATCH(1,(disp!$A$2:$A$285=OUTput_Monta_TrSx!H42)*(disp!$B$2:$B$274="Tandem_Max(min)"),0),5),INDEX(disp!$A$2:$H$274,MATCH(1,(disp!$A$2:$A$285=OUTput_Monta_TrSx!H42)*(disp!$B$2:$B$274="tandem_Ecc(min)"),0),5)))</f>
        <v>#N/A</v>
      </c>
      <c r="L42" s="14" t="e">
        <f t="array" ref="L42">MIN(INDEX(disp!$A$2:$H$274,MATCH(1,(disp!$A$2:$A$285=OUTput_Monta_TrSx!H42)*(disp!$B$2:$B$274="Distr_Ecc(min)"),0),5),INDEX(disp!$A$2:$H$274,MATCH(1,(disp!$A$2:$A$285=OUTput_Monta_TrSx!H42)*(disp!$B$2:$B$274="Distr_Max(min)"),0),5))</f>
        <v>#N/A</v>
      </c>
      <c r="M42" s="25" cm="1">
        <f t="array" ref="M42">0.25*(_xlfn.XLOOKUP(H42&amp;$T$6,disp!A:A&amp;disp!B:B,disp!E:E)+_xlfn.XLOOKUP(H42&amp;$T$9,disp!A:A&amp;disp!B:B,disp!E:E))+0.25*(_xlfn.XLOOKUP(H42&amp;$T$7,disp!A:A&amp;disp!B:B,disp!E:E)+_xlfn.XLOOKUP(H42&amp;$T$8,disp!A:A&amp;disp!B:B,disp!E:E)+_xlfn.XLOOKUP(H42&amp;$T$10,disp!A:A&amp;disp!B:B,disp!E:E))</f>
        <v>-17.309908499999999</v>
      </c>
      <c r="N42" s="25">
        <f t="shared" si="0"/>
        <v>-45</v>
      </c>
      <c r="O42" s="42">
        <f t="shared" si="2"/>
        <v>45</v>
      </c>
      <c r="P42" s="6">
        <f>LOOKUP(H42,Elementi!$H:$H,Elementi!$E:$E)</f>
        <v>3</v>
      </c>
      <c r="Q42" s="2"/>
      <c r="R42" s="2"/>
      <c r="AD42" s="13"/>
      <c r="AE42" s="13"/>
    </row>
    <row r="43" spans="3:31" x14ac:dyDescent="0.25">
      <c r="C43" s="39">
        <f>_xlfn.XLOOKUP(H43,Nodi!$A:$A,Nodi!$B:$B)</f>
        <v>-11.005951</v>
      </c>
      <c r="D43" s="39">
        <f t="shared" si="1"/>
        <v>344.17771600000003</v>
      </c>
      <c r="E43" s="56" t="s">
        <v>54</v>
      </c>
      <c r="F43" s="55" t="s">
        <v>35</v>
      </c>
      <c r="G43" s="54"/>
      <c r="H43" s="34">
        <v>512</v>
      </c>
      <c r="I43" s="25" cm="1">
        <f t="array" ref="I43">_xlfn.XLOOKUP(H43&amp;$T$11,disp!A:A&amp;disp!B:B,disp!E:E)</f>
        <v>-9.6927810000000001</v>
      </c>
      <c r="J43" s="25" cm="1">
        <f t="array" ref="J43">_xlfn.XLOOKUP(H43&amp;$T$12,disp!A:A&amp;disp!B:B,disp!E:E)</f>
        <v>-14.165227</v>
      </c>
      <c r="K43" s="26" t="e" cm="1">
        <f t="array" ref="K43">(MIN(INDEX(disp!$A$2:$H$274,MATCH(1,(disp!$A$2:$A$285=OUTput_Monta_TrSx!H43)*(disp!$B$2:$B$274="Tandem_Max(min)"),0),5),INDEX(disp!$A$2:$H$274,MATCH(1,(disp!$A$2:$A$285=OUTput_Monta_TrSx!H43)*(disp!$B$2:$B$274="tandem_Ecc(min)"),0),5)))</f>
        <v>#N/A</v>
      </c>
      <c r="L43" s="5" t="e">
        <f t="array" ref="L43">MIN(INDEX(disp!$A$2:$H$274,MATCH(1,(disp!$A$2:$A$285=OUTput_Monta_TrSx!H43)*(disp!$B$2:$B$274="Distr_Ecc(min)"),0),5),INDEX(disp!$A$2:$H$274,MATCH(1,(disp!$A$2:$A$285=OUTput_Monta_TrSx!H43)*(disp!$B$2:$B$274="Distr_Max(min)"),0),5))</f>
        <v>#N/A</v>
      </c>
      <c r="M43" s="25" cm="1">
        <f t="array" ref="M43">0.25*(_xlfn.XLOOKUP(H43&amp;$T$6,disp!A:A&amp;disp!B:B,disp!E:E)+_xlfn.XLOOKUP(H43&amp;$T$9,disp!A:A&amp;disp!B:B,disp!E:E))+0.25*(_xlfn.XLOOKUP(H43&amp;$T$7,disp!A:A&amp;disp!B:B,disp!E:E)+_xlfn.XLOOKUP(H43&amp;$T$8,disp!A:A&amp;disp!B:B,disp!E:E)+_xlfn.XLOOKUP(H43&amp;$T$10,disp!A:A&amp;disp!B:B,disp!E:E))</f>
        <v>-13.021393499999999</v>
      </c>
      <c r="N43" s="25">
        <f t="shared" si="0"/>
        <v>-37</v>
      </c>
      <c r="O43" s="42">
        <f t="shared" si="2"/>
        <v>40</v>
      </c>
      <c r="P43" s="6">
        <f>LOOKUP(H43,Elementi!$H:$H,Elementi!$E:$E)</f>
        <v>2</v>
      </c>
      <c r="Q43" s="2"/>
      <c r="R43" s="2"/>
      <c r="AC43" s="1"/>
      <c r="AD43" s="13"/>
    </row>
    <row r="44" spans="3:31" ht="15.75" thickBot="1" x14ac:dyDescent="0.3">
      <c r="C44" s="39">
        <f>_xlfn.XLOOKUP(H44,Nodi!$A:$A,Nodi!$B:$B)</f>
        <v>0.94212099999999999</v>
      </c>
      <c r="D44" s="39">
        <f t="shared" si="1"/>
        <v>356.125788</v>
      </c>
      <c r="E44" s="59"/>
      <c r="F44" s="57"/>
      <c r="G44" s="21"/>
      <c r="H44" s="47">
        <v>500</v>
      </c>
      <c r="I44" s="27" cm="1">
        <f t="array" ref="I44">_xlfn.XLOOKUP(H44&amp;$T$11,disp!A:A&amp;disp!B:B,disp!E:E)</f>
        <v>0</v>
      </c>
      <c r="J44" s="27" cm="1">
        <f t="array" ref="J44">_xlfn.XLOOKUP(H44&amp;$T$12,disp!A:A&amp;disp!B:B,disp!E:E)</f>
        <v>0</v>
      </c>
      <c r="K44" s="28" t="e" cm="1">
        <f t="array" ref="K44">(MIN(INDEX(disp!$A$2:$H$274,MATCH(1,(disp!$A$2:$A$285=OUTput_Monta_TrSx!H44)*(disp!$B$2:$B$274="Tandem_Max(min)"),0),5),INDEX(disp!$A$2:$H$274,MATCH(1,(disp!$A$2:$A$285=OUTput_Monta_TrSx!H44)*(disp!$B$2:$B$274="tandem_Ecc(min)"),0),5)))</f>
        <v>#N/A</v>
      </c>
      <c r="L44" s="30" t="e">
        <f t="array" ref="L44">MIN(INDEX(disp!$A$2:$H$274,MATCH(1,(disp!$A$2:$A$285=OUTput_Monta_TrSx!H44)*(disp!$B$2:$B$274="Distr_Ecc(min)"),0),5),INDEX(disp!$A$2:$H$274,MATCH(1,(disp!$A$2:$A$285=OUTput_Monta_TrSx!H44)*(disp!$B$2:$B$274="Distr_Max(min)"),0),5))</f>
        <v>#N/A</v>
      </c>
      <c r="M44" s="27" cm="1">
        <f t="array" ref="M44">0.25*(_xlfn.XLOOKUP(H44&amp;$T$6,disp!A:A&amp;disp!B:B,disp!E:E)+_xlfn.XLOOKUP(H44&amp;$T$9,disp!A:A&amp;disp!B:B,disp!E:E))+0.25*(_xlfn.XLOOKUP(H44&amp;$T$7,disp!A:A&amp;disp!B:B,disp!E:E)+_xlfn.XLOOKUP(H44&amp;$T$8,disp!A:A&amp;disp!B:B,disp!E:E)+_xlfn.XLOOKUP(H44&amp;$T$10,disp!A:A&amp;disp!B:B,disp!E:E))</f>
        <v>0</v>
      </c>
      <c r="N44" s="27">
        <f t="shared" si="0"/>
        <v>0</v>
      </c>
      <c r="O44" s="43">
        <f t="shared" si="2"/>
        <v>0</v>
      </c>
      <c r="P44" s="6">
        <f>LOOKUP(H44,Elementi!$H:$H,Elementi!$E:$E)</f>
        <v>1</v>
      </c>
      <c r="Q44" s="2"/>
      <c r="R44" s="2"/>
    </row>
    <row r="45" spans="3:31" x14ac:dyDescent="0.25">
      <c r="C45" s="1"/>
      <c r="Q45" s="2"/>
      <c r="R45" s="2"/>
    </row>
    <row r="46" spans="3:31" x14ac:dyDescent="0.25">
      <c r="C46" s="1"/>
      <c r="Q46" s="2"/>
      <c r="R46" s="2"/>
    </row>
    <row r="47" spans="3:31" x14ac:dyDescent="0.25">
      <c r="Q47" s="2"/>
      <c r="R47" s="2"/>
    </row>
    <row r="48" spans="3:31" x14ac:dyDescent="0.25">
      <c r="Q48" s="2"/>
      <c r="R48" s="2"/>
    </row>
    <row r="49" spans="17:18" x14ac:dyDescent="0.25">
      <c r="Q49" s="2"/>
      <c r="R49" s="2"/>
    </row>
    <row r="50" spans="17:18" x14ac:dyDescent="0.25">
      <c r="Q50" s="2"/>
      <c r="R50" s="2"/>
    </row>
    <row r="51" spans="17:18" x14ac:dyDescent="0.25">
      <c r="Q51" s="2"/>
      <c r="R51" s="2"/>
    </row>
    <row r="52" spans="17:18" x14ac:dyDescent="0.25">
      <c r="Q52" s="2"/>
      <c r="R52" s="2"/>
    </row>
    <row r="53" spans="17:18" x14ac:dyDescent="0.25">
      <c r="Q53" s="2"/>
      <c r="R53" s="2"/>
    </row>
    <row r="54" spans="17:18" x14ac:dyDescent="0.25">
      <c r="R54" s="2"/>
    </row>
    <row r="55" spans="17:18" x14ac:dyDescent="0.25">
      <c r="R55" s="2"/>
    </row>
  </sheetData>
  <mergeCells count="44">
    <mergeCell ref="E32:E34"/>
    <mergeCell ref="E38:E40"/>
    <mergeCell ref="E4:E5"/>
    <mergeCell ref="E43:E44"/>
    <mergeCell ref="E26:E28"/>
    <mergeCell ref="E20:E22"/>
    <mergeCell ref="F14:F16"/>
    <mergeCell ref="G13:G14"/>
    <mergeCell ref="E14:E16"/>
    <mergeCell ref="F12:F13"/>
    <mergeCell ref="G16:G17"/>
    <mergeCell ref="F17:F18"/>
    <mergeCell ref="G18:G19"/>
    <mergeCell ref="G35:G36"/>
    <mergeCell ref="F36:F37"/>
    <mergeCell ref="F19:F20"/>
    <mergeCell ref="G20:G22"/>
    <mergeCell ref="F26:F28"/>
    <mergeCell ref="F34:F35"/>
    <mergeCell ref="G25:G26"/>
    <mergeCell ref="G28:G29"/>
    <mergeCell ref="F29:F30"/>
    <mergeCell ref="G30:G31"/>
    <mergeCell ref="F31:F32"/>
    <mergeCell ref="G32:G34"/>
    <mergeCell ref="G37:G38"/>
    <mergeCell ref="F22:F23"/>
    <mergeCell ref="G23:G24"/>
    <mergeCell ref="F24:F25"/>
    <mergeCell ref="G40:G41"/>
    <mergeCell ref="F41:F42"/>
    <mergeCell ref="F38:F40"/>
    <mergeCell ref="G42:G43"/>
    <mergeCell ref="F43:F44"/>
    <mergeCell ref="E2:O2"/>
    <mergeCell ref="F3:G3"/>
    <mergeCell ref="G4:G5"/>
    <mergeCell ref="F5:F6"/>
    <mergeCell ref="G6:G7"/>
    <mergeCell ref="F7:F8"/>
    <mergeCell ref="G8:G10"/>
    <mergeCell ref="E8:E10"/>
    <mergeCell ref="F10:F11"/>
    <mergeCell ref="G11:G12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Elementi</vt:lpstr>
      <vt:lpstr>Nodi</vt:lpstr>
      <vt:lpstr>disp</vt:lpstr>
      <vt:lpstr>OUTput_Monta_TrSx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p.barrasso</dc:creator>
  <cp:lastModifiedBy>Domenico Gaudioso</cp:lastModifiedBy>
  <dcterms:created xsi:type="dcterms:W3CDTF">2020-02-05T17:17:15Z</dcterms:created>
  <dcterms:modified xsi:type="dcterms:W3CDTF">2026-04-21T08:55:41Z</dcterms:modified>
</cp:coreProperties>
</file>